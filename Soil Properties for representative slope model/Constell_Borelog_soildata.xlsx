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work\Objective 2\Ground Characterisation\Soil Properties for representative slope model\"/>
    </mc:Choice>
  </mc:AlternateContent>
  <xr:revisionPtr revIDLastSave="0" documentId="13_ncr:1_{F527A794-8A9C-4DCC-A362-3C4CB5BA919A}" xr6:coauthVersionLast="36" xr6:coauthVersionMax="36" xr10:uidLastSave="{00000000-0000-0000-0000-000000000000}"/>
  <bookViews>
    <workbookView xWindow="0" yWindow="0" windowWidth="28800" windowHeight="12225" xr2:uid="{5B6D4B65-5489-4E75-918A-C5B287267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3" i="1"/>
</calcChain>
</file>

<file path=xl/sharedStrings.xml><?xml version="1.0" encoding="utf-8"?>
<sst xmlns="http://schemas.openxmlformats.org/spreadsheetml/2006/main" count="1690" uniqueCount="382">
  <si>
    <t>Sl. No</t>
  </si>
  <si>
    <t>Drill Hole no</t>
  </si>
  <si>
    <t>Co-ordinates</t>
  </si>
  <si>
    <t>RL (m)</t>
  </si>
  <si>
    <t>Termination Depth (m)</t>
  </si>
  <si>
    <t>Overburden Height (m)</t>
  </si>
  <si>
    <t>Soil thickness</t>
  </si>
  <si>
    <t>GWT (m)</t>
  </si>
  <si>
    <t>Co-eff of perm (insitu)</t>
  </si>
  <si>
    <t>Depth (m)</t>
  </si>
  <si>
    <t>Description</t>
  </si>
  <si>
    <t>N</t>
  </si>
  <si>
    <t>Particle Size Distibution</t>
  </si>
  <si>
    <t>Density and Moisture Tests</t>
  </si>
  <si>
    <t>Atterberg Limits</t>
  </si>
  <si>
    <t>Shear Strength Parameters</t>
  </si>
  <si>
    <t>G</t>
  </si>
  <si>
    <t>Consolidation Characteristics</t>
  </si>
  <si>
    <t>North</t>
  </si>
  <si>
    <t>East</t>
  </si>
  <si>
    <t>k (cm/s)</t>
  </si>
  <si>
    <t>Gravel</t>
  </si>
  <si>
    <t>sandy</t>
  </si>
  <si>
    <t>Silt</t>
  </si>
  <si>
    <t>Clay</t>
  </si>
  <si>
    <t>WC</t>
  </si>
  <si>
    <t>Bulk density (g/cc)</t>
  </si>
  <si>
    <t>Dry density (g/cc)</t>
  </si>
  <si>
    <t>LL</t>
  </si>
  <si>
    <t>PL</t>
  </si>
  <si>
    <t>PI</t>
  </si>
  <si>
    <t>Test Type</t>
  </si>
  <si>
    <t>C (kg/cm2)</t>
  </si>
  <si>
    <t>φ</t>
  </si>
  <si>
    <t>Cc</t>
  </si>
  <si>
    <t>Cc/1+e0</t>
  </si>
  <si>
    <t>e0</t>
  </si>
  <si>
    <t>BH-1</t>
  </si>
  <si>
    <t>5.16-6</t>
  </si>
  <si>
    <t>Brownish grey silty sandy clay with kankars</t>
  </si>
  <si>
    <t>-</t>
  </si>
  <si>
    <t>**34.5</t>
  </si>
  <si>
    <t>UU</t>
  </si>
  <si>
    <t>Greyish yellow clayey silty sand with kankars and gravels</t>
  </si>
  <si>
    <t>Non-plastic</t>
  </si>
  <si>
    <t>DSR</t>
  </si>
  <si>
    <t>BH-2</t>
  </si>
  <si>
    <t>Yellowish grey silty sand with gravels</t>
  </si>
  <si>
    <t>*14.1</t>
  </si>
  <si>
    <t>Yellowish grey clayey silty sand with gravels</t>
  </si>
  <si>
    <t>**22.6</t>
  </si>
  <si>
    <t>Yellowish grey silty sand with traces of gravels</t>
  </si>
  <si>
    <t>*26.7</t>
  </si>
  <si>
    <t>Yellowish grey clayey silty sand with traces of gravels</t>
  </si>
  <si>
    <t>**23.9</t>
  </si>
  <si>
    <t>BH-3</t>
  </si>
  <si>
    <t>4.5-5.25</t>
  </si>
  <si>
    <t>Grey silty sand with fragmented rock pieces</t>
  </si>
  <si>
    <t>*11.0</t>
  </si>
  <si>
    <t>BH-4</t>
  </si>
  <si>
    <t>Brownish yellow silty sand with fragmented rock pieces</t>
  </si>
  <si>
    <t>*13.8</t>
  </si>
  <si>
    <t>BH-5</t>
  </si>
  <si>
    <t>Brownish yellow silty sand with kankars</t>
  </si>
  <si>
    <t>Greyish yellow silty sand with kankars and nodules</t>
  </si>
  <si>
    <t>*28.0</t>
  </si>
  <si>
    <t>BH-6</t>
  </si>
  <si>
    <t>Brownish grey silty sand mixed with gravels and fragmented rock pieces</t>
  </si>
  <si>
    <t>*21.8</t>
  </si>
  <si>
    <t>BH-6A</t>
  </si>
  <si>
    <t>Grey silty sand with kankars and gravels</t>
  </si>
  <si>
    <t>*14.5</t>
  </si>
  <si>
    <t xml:space="preserve"> -</t>
  </si>
  <si>
    <t>BH-7</t>
  </si>
  <si>
    <t>7.0-8.0</t>
  </si>
  <si>
    <t>Grey sand with gravels and pebbles</t>
  </si>
  <si>
    <t>*4.5</t>
  </si>
  <si>
    <t>BH-8</t>
  </si>
  <si>
    <t>Greyish brown clayey silty sand with kankars and gravels</t>
  </si>
  <si>
    <t>**26.1</t>
  </si>
  <si>
    <t>BH-8A</t>
  </si>
  <si>
    <t>NE</t>
  </si>
  <si>
    <t>5.0-6.0</t>
  </si>
  <si>
    <t>Greyish brown silty sand with gravels</t>
  </si>
  <si>
    <t>*24.8</t>
  </si>
  <si>
    <t>Brownish grey sandy silty clay with kankars and gravels</t>
  </si>
  <si>
    <t>**36.9</t>
  </si>
  <si>
    <t>**33.8</t>
  </si>
  <si>
    <t>Yellowish brown clayey silty sand with gravels</t>
  </si>
  <si>
    <t>DS</t>
  </si>
  <si>
    <t>BH-9</t>
  </si>
  <si>
    <t>BH-10</t>
  </si>
  <si>
    <t>BH-11</t>
  </si>
  <si>
    <t>Brownish grey clayey silty sand with kankars and gravels</t>
  </si>
  <si>
    <t>**30.5</t>
  </si>
  <si>
    <t>Brownish grey silty sand with kankars and gravels</t>
  </si>
  <si>
    <t>*15.1</t>
  </si>
  <si>
    <t>BH-12</t>
  </si>
  <si>
    <t>11.7-12.5</t>
  </si>
  <si>
    <t>Grey silty sandy clay / silty clayey sand with kankars and gravels</t>
  </si>
  <si>
    <t>23.9-24.5</t>
  </si>
  <si>
    <t>Greyish yellow silty sand with fragmented rock pieces</t>
  </si>
  <si>
    <t>*17.7</t>
  </si>
  <si>
    <t>BH-12A</t>
  </si>
  <si>
    <t>Brownish grey sandy silty clay / silty clayey sand with gravels and pebbles</t>
  </si>
  <si>
    <t>**35.6</t>
  </si>
  <si>
    <t>BH-13</t>
  </si>
  <si>
    <t>1.0-2.0</t>
  </si>
  <si>
    <t>Greyish brown clayey silty sand with kankars, gravels,fragmented rock pieces etc</t>
  </si>
  <si>
    <t>BH-14</t>
  </si>
  <si>
    <t>4.0-5.0</t>
  </si>
  <si>
    <t>Greyish yellow sand with kankars, gravels, fragmented rock pieces etc.</t>
  </si>
  <si>
    <t>BH-15</t>
  </si>
  <si>
    <t>**39.3</t>
  </si>
  <si>
    <t>BH-16</t>
  </si>
  <si>
    <t>1-1.7</t>
  </si>
  <si>
    <t>Brownish grey clayey silty sand with gravels and pebbles</t>
  </si>
  <si>
    <t>Greyish brown silty sand with gravels, pebbles and fragmented rock pieces</t>
  </si>
  <si>
    <t>*12.8</t>
  </si>
  <si>
    <t>BH-17</t>
  </si>
  <si>
    <t>Brownish yellow clayey silty sand with fragmented rock pieces</t>
  </si>
  <si>
    <t>**25.1</t>
  </si>
  <si>
    <t>*19.4</t>
  </si>
  <si>
    <t>BH-18</t>
  </si>
  <si>
    <t>3.8-4</t>
  </si>
  <si>
    <t>Grey clayey silty sand with kankars and gravels</t>
  </si>
  <si>
    <t>**29.3</t>
  </si>
  <si>
    <t>Grey silty sand with gravels and clay as binder</t>
  </si>
  <si>
    <t>*27.3</t>
  </si>
  <si>
    <t>BH-19</t>
  </si>
  <si>
    <t>6.4-7</t>
  </si>
  <si>
    <t>Greyish yellow silty sand with kankars, nodules and gravels</t>
  </si>
  <si>
    <t>*10.9</t>
  </si>
  <si>
    <t>Greyish yellow clayey silty sand with kankars and fragmented rock pieces</t>
  </si>
  <si>
    <t>**26.5</t>
  </si>
  <si>
    <t>BH-19A</t>
  </si>
  <si>
    <t>6.75-7.75</t>
  </si>
  <si>
    <t>Yellowish grey clayey silty sand with kankars and fragmented rock pieces</t>
  </si>
  <si>
    <t>**30.6</t>
  </si>
  <si>
    <t>BH-20</t>
  </si>
  <si>
    <t>BH-20A</t>
  </si>
  <si>
    <t>BH-21</t>
  </si>
  <si>
    <t>4-4.75</t>
  </si>
  <si>
    <t>*18.9</t>
  </si>
  <si>
    <t>BH-22</t>
  </si>
  <si>
    <t>BH-T4/2</t>
  </si>
  <si>
    <t>ADH-1</t>
  </si>
  <si>
    <t>N.E</t>
  </si>
  <si>
    <t>ADH-3</t>
  </si>
  <si>
    <t>Yellowish grey silty sand with kankars and fragmented rock pieces</t>
  </si>
  <si>
    <t>*14.2</t>
  </si>
  <si>
    <t>*8.9</t>
  </si>
  <si>
    <t>ADH-4</t>
  </si>
  <si>
    <t>4.25-5.25</t>
  </si>
  <si>
    <t>Dark grey silty sand with kankar,gravels and clay as binder</t>
  </si>
  <si>
    <t>*8.7</t>
  </si>
  <si>
    <t>ADH-6</t>
  </si>
  <si>
    <t>**26.6</t>
  </si>
  <si>
    <t>Brownish grey silty sand with fragmented rock pieces</t>
  </si>
  <si>
    <t>*29.1</t>
  </si>
  <si>
    <t>ADH-7</t>
  </si>
  <si>
    <t>5.75-6.25</t>
  </si>
  <si>
    <t>*11.1</t>
  </si>
  <si>
    <t>ADH-8</t>
  </si>
  <si>
    <t>Greyish yellow silty sand with gravels and clay as binder</t>
  </si>
  <si>
    <t>ADH-9</t>
  </si>
  <si>
    <t>Brownish grey clayey silty sand with gravels and boulder pieces</t>
  </si>
  <si>
    <t>**29.7</t>
  </si>
  <si>
    <t>ADH-10</t>
  </si>
  <si>
    <t>7.75-8.25</t>
  </si>
  <si>
    <t>Yellowish grey silty sand with fragmented rock pieces</t>
  </si>
  <si>
    <t>*16.4</t>
  </si>
  <si>
    <t>*13.6</t>
  </si>
  <si>
    <t>ADH-11</t>
  </si>
  <si>
    <t>Greyish brown silty sand with clay as binder, gravels and pebbles</t>
  </si>
  <si>
    <t>*4.6</t>
  </si>
  <si>
    <t>Grey sand mixed with gravels, pebbles and fragmented rock pieces</t>
  </si>
  <si>
    <t>*8.1</t>
  </si>
  <si>
    <t>ADH-12</t>
  </si>
  <si>
    <t>Greyish brown / yellow silty sand with fragmented rock pieces</t>
  </si>
  <si>
    <t>*15.5</t>
  </si>
  <si>
    <t>ADH-13</t>
  </si>
  <si>
    <t>Greyish yellow silty sand with gravels, fragmented rock pieces and clay as binder</t>
  </si>
  <si>
    <t>ADH-14</t>
  </si>
  <si>
    <t>ADH-15</t>
  </si>
  <si>
    <t>Brownish grey silty sand with gravels and fragmented rock pieces</t>
  </si>
  <si>
    <t>*13.0</t>
  </si>
  <si>
    <t>ADH-16</t>
  </si>
  <si>
    <t>Yellowish brown silty clayey sand with kankars and nodules</t>
  </si>
  <si>
    <t>**34.8</t>
  </si>
  <si>
    <t>**33.5</t>
  </si>
  <si>
    <t>Greyish Yellow silty clayey sand with kankars and nodules</t>
  </si>
  <si>
    <t>**33.7</t>
  </si>
  <si>
    <t>ADH-17</t>
  </si>
  <si>
    <t>*20.2</t>
  </si>
  <si>
    <t>ADH-18</t>
  </si>
  <si>
    <t>*13.1</t>
  </si>
  <si>
    <t>ADH-19</t>
  </si>
  <si>
    <t>Greyish yellow silty clayey sand with kankars and gravels</t>
  </si>
  <si>
    <t>**32.4</t>
  </si>
  <si>
    <t>ADH-20</t>
  </si>
  <si>
    <t>*24.6</t>
  </si>
  <si>
    <t>ADH-21</t>
  </si>
  <si>
    <t>ADH-22</t>
  </si>
  <si>
    <t>Greyish yellow sandy silt with kankars and clay as binder</t>
  </si>
  <si>
    <t>Greyish yellow silty sand with gravels and fragmented rock pieces</t>
  </si>
  <si>
    <t>*25.0</t>
  </si>
  <si>
    <t>AP-1</t>
  </si>
  <si>
    <t>Greyish brown clayey sandy silt with gravels</t>
  </si>
  <si>
    <t>Greyish brown silty sand with gravels and pebbles</t>
  </si>
  <si>
    <t>AP-2</t>
  </si>
  <si>
    <t>*12.0</t>
  </si>
  <si>
    <t>*35.1</t>
  </si>
  <si>
    <t>AP-3</t>
  </si>
  <si>
    <t>AP-4</t>
  </si>
  <si>
    <t>ADH-23</t>
  </si>
  <si>
    <t>Greyish yellow silty sand with kankars and fragmented rock pieces</t>
  </si>
  <si>
    <t>*21.6</t>
  </si>
  <si>
    <t>ADH-24</t>
  </si>
  <si>
    <t>*16.7</t>
  </si>
  <si>
    <t>ADH-25</t>
  </si>
  <si>
    <t>*22.0</t>
  </si>
  <si>
    <t>ADH-26</t>
  </si>
  <si>
    <t>Greyish brown silty sand with fragmented rock pieces</t>
  </si>
  <si>
    <t>*12.9</t>
  </si>
  <si>
    <t>ADH-27</t>
  </si>
  <si>
    <t>Grey silty sand with gravels and fragmented rock pieces</t>
  </si>
  <si>
    <t>*10.6</t>
  </si>
  <si>
    <t>ADH-28</t>
  </si>
  <si>
    <t>Yellowish grey sand with gravles, pebbles and fragmented rock pieces</t>
  </si>
  <si>
    <t>*2.2</t>
  </si>
  <si>
    <t>ADH-29</t>
  </si>
  <si>
    <t>Greyish brown silty sand with gravels and fragmented rock pieces</t>
  </si>
  <si>
    <t>*38.3</t>
  </si>
  <si>
    <t>ADH-30</t>
  </si>
  <si>
    <t>ADH-31</t>
  </si>
  <si>
    <t>*20.3</t>
  </si>
  <si>
    <t>T-10/AP-1</t>
  </si>
  <si>
    <t>*14.6</t>
  </si>
  <si>
    <t>T-10/AP-2</t>
  </si>
  <si>
    <t>Brownish yellow silty sand with fragmented rock pieces and clay as binder</t>
  </si>
  <si>
    <t>T-10/AP-3</t>
  </si>
  <si>
    <t>Greyish brown silty sand with kankars, fragmented rock pieces, roots etc</t>
  </si>
  <si>
    <t>*30.0</t>
  </si>
  <si>
    <t>Brownish grey silty sand with fragmented rock pieces and clay as binder</t>
  </si>
  <si>
    <t>T10/AP-4</t>
  </si>
  <si>
    <t>NB-1</t>
  </si>
  <si>
    <t>Brownish grey silty sand with gravels, stone pieces etc.</t>
  </si>
  <si>
    <t>*35.5</t>
  </si>
  <si>
    <t>NB-2</t>
  </si>
  <si>
    <t>Brownish grey silty sand with kankars, gravels, stone pieces etc.</t>
  </si>
  <si>
    <t>*31.8</t>
  </si>
  <si>
    <t>NB-3</t>
  </si>
  <si>
    <t>Greyish yellow silty sand mixed with gravels, stone pieces etc.</t>
  </si>
  <si>
    <t>*21.7</t>
  </si>
  <si>
    <t>Greyish yellow silty sand with traces of kankars</t>
  </si>
  <si>
    <t>*12.6</t>
  </si>
  <si>
    <t>NB-4</t>
  </si>
  <si>
    <t>NB-5</t>
  </si>
  <si>
    <t>*8.3</t>
  </si>
  <si>
    <t>NB-6</t>
  </si>
  <si>
    <t>*40.6</t>
  </si>
  <si>
    <t>NB-10</t>
  </si>
  <si>
    <t>NB-11</t>
  </si>
  <si>
    <t>*9.3</t>
  </si>
  <si>
    <t>NB-12</t>
  </si>
  <si>
    <t>Greyish yellow silty sand with kankars, gravels and fragmented rock pieces</t>
  </si>
  <si>
    <t>*25.1</t>
  </si>
  <si>
    <t>NB-13</t>
  </si>
  <si>
    <t>NB-14</t>
  </si>
  <si>
    <t>Greyish yellow silty sand with gravels</t>
  </si>
  <si>
    <t>*28.9</t>
  </si>
  <si>
    <t>NB-15</t>
  </si>
  <si>
    <t>NB-16</t>
  </si>
  <si>
    <t>*22.9</t>
  </si>
  <si>
    <t>NB-17</t>
  </si>
  <si>
    <t>Yellowish grey silty sand with kankars and gravels</t>
  </si>
  <si>
    <t>*37.5</t>
  </si>
  <si>
    <t>NB-27</t>
  </si>
  <si>
    <t>*18.5</t>
  </si>
  <si>
    <t>NB-28</t>
  </si>
  <si>
    <t>Grey sand with fragmented rock pieces</t>
  </si>
  <si>
    <t>*4.1</t>
  </si>
  <si>
    <t>BH-23</t>
  </si>
  <si>
    <t>Greyish yellow clayey silty sand with gravels</t>
  </si>
  <si>
    <t>**27.0</t>
  </si>
  <si>
    <t>BH-24</t>
  </si>
  <si>
    <t>**25.9</t>
  </si>
  <si>
    <t>BH-25</t>
  </si>
  <si>
    <t>8.2-9</t>
  </si>
  <si>
    <t>Greyish yellow silty sand with kankars and gravels</t>
  </si>
  <si>
    <t>*17.2</t>
  </si>
  <si>
    <t>**28.9</t>
  </si>
  <si>
    <t>Greyish yellow silty sand with kankars, gravels and clay as binder</t>
  </si>
  <si>
    <t>BH-26</t>
  </si>
  <si>
    <t>9.0-10</t>
  </si>
  <si>
    <t>BH-28</t>
  </si>
  <si>
    <t>Brownish grey silty clayey sand with gravels</t>
  </si>
  <si>
    <t>**32.5</t>
  </si>
  <si>
    <t>*27.1</t>
  </si>
  <si>
    <t>BH-35</t>
  </si>
  <si>
    <t>Brownish grey silty sand with gravels and boulder pieces</t>
  </si>
  <si>
    <t>*19.7</t>
  </si>
  <si>
    <t>BH-36</t>
  </si>
  <si>
    <t>*25.7</t>
  </si>
  <si>
    <t>BH-37</t>
  </si>
  <si>
    <t>5.0-6</t>
  </si>
  <si>
    <t>Brownish grey silty clayey sand with kankars and gravels</t>
  </si>
  <si>
    <t>**32.6</t>
  </si>
  <si>
    <t>*18.7</t>
  </si>
  <si>
    <t>BH-39</t>
  </si>
  <si>
    <t>*29.0</t>
  </si>
  <si>
    <t>BH-40</t>
  </si>
  <si>
    <t>6.5-7.25</t>
  </si>
  <si>
    <t>BH-41</t>
  </si>
  <si>
    <t>Greyish yellow silty sand with gravels and pebbles</t>
  </si>
  <si>
    <t>BH-42</t>
  </si>
  <si>
    <t>Brownish grey clayey sandy silt with gravels and pebbles</t>
  </si>
  <si>
    <t>**30.2</t>
  </si>
  <si>
    <t>BH-43</t>
  </si>
  <si>
    <t>Grey sand with gravels and boulder pieces</t>
  </si>
  <si>
    <t>BH-44</t>
  </si>
  <si>
    <t>BH-27</t>
  </si>
  <si>
    <t>BH-31</t>
  </si>
  <si>
    <t>BH-32</t>
  </si>
  <si>
    <t>6.95-7.5</t>
  </si>
  <si>
    <t>Grey silty sand with mica, fragmented rock pieces and clay as binder</t>
  </si>
  <si>
    <t>BH-38</t>
  </si>
  <si>
    <t>Brownish yellow silty sand with gravels, pebbles and fragmented rock pieces</t>
  </si>
  <si>
    <t>*12.2</t>
  </si>
  <si>
    <t>BH-45</t>
  </si>
  <si>
    <t>*13.4</t>
  </si>
  <si>
    <t>BH-46</t>
  </si>
  <si>
    <t>Yellowish grey sand with kankars, gravels etc.</t>
  </si>
  <si>
    <t>*6.7</t>
  </si>
  <si>
    <t>BH-47</t>
  </si>
  <si>
    <t>*31.0</t>
  </si>
  <si>
    <t>BH-48</t>
  </si>
  <si>
    <t>BH-49</t>
  </si>
  <si>
    <t>Greyish brown clayey silty sand with kankars and nodules</t>
  </si>
  <si>
    <t>**28.5</t>
  </si>
  <si>
    <t>Greyish yellow silty sand with kankars, gravels etc.</t>
  </si>
  <si>
    <t>Greyish yellow silty sand with fragmented rock pieces.</t>
  </si>
  <si>
    <t>BH-50</t>
  </si>
  <si>
    <t>**30.0</t>
  </si>
  <si>
    <t>BH-29</t>
  </si>
  <si>
    <t>BH-30</t>
  </si>
  <si>
    <t>Brownish grey sand with gravels</t>
  </si>
  <si>
    <t>*4.3</t>
  </si>
  <si>
    <t>Greyish yellow sitly sand with kankars and gravels</t>
  </si>
  <si>
    <t>*15.7</t>
  </si>
  <si>
    <t>*26.0</t>
  </si>
  <si>
    <t>BH-33</t>
  </si>
  <si>
    <t>Greyish yellow silty sand with fragmented rock pieces and clay as binder</t>
  </si>
  <si>
    <t>BH-34</t>
  </si>
  <si>
    <t>*15.8</t>
  </si>
  <si>
    <t>NB-36</t>
  </si>
  <si>
    <t>NB-37</t>
  </si>
  <si>
    <t>Grey silty sand with gravels, pebbles and fragmented rock pieces</t>
  </si>
  <si>
    <t>NB-38</t>
  </si>
  <si>
    <t>Brownish grey silty sand with kankars, stone pieces etc.</t>
  </si>
  <si>
    <t>*26.5</t>
  </si>
  <si>
    <t>NB-39</t>
  </si>
  <si>
    <t>NB-40</t>
  </si>
  <si>
    <t>*16.1</t>
  </si>
  <si>
    <t>NB-41</t>
  </si>
  <si>
    <t>Greyish brown silty sand with boulder pieces</t>
  </si>
  <si>
    <t>NB-42</t>
  </si>
  <si>
    <t>NB-29</t>
  </si>
  <si>
    <t>NB-30</t>
  </si>
  <si>
    <t>NB-31</t>
  </si>
  <si>
    <t>Yellowish grey sand with gravels and fragmented rock pieces</t>
  </si>
  <si>
    <t>*6.3</t>
  </si>
  <si>
    <t>NB-32</t>
  </si>
  <si>
    <t>*5.0</t>
  </si>
  <si>
    <t>NB-33</t>
  </si>
  <si>
    <t>*5.9</t>
  </si>
  <si>
    <t>NB-34</t>
  </si>
  <si>
    <t>NB-35</t>
  </si>
  <si>
    <t>*3.6</t>
  </si>
  <si>
    <t>Overburden ending RL</t>
  </si>
  <si>
    <t>Boring 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</si>
</sst>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1" fontId="0" fillId="0" borderId="24" xfId="0" applyNumberFormat="1" applyBorder="1" applyAlignment="1">
      <alignment horizontal="center" vertical="center"/>
    </xf>
    <xf numFmtId="11" fontId="0" fillId="0" borderId="17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" fontId="0" fillId="0" borderId="21" xfId="0" applyNumberFormat="1" applyBorder="1" applyAlignment="1">
      <alignment horizontal="center" vertical="center"/>
    </xf>
    <xf numFmtId="16" fontId="0" fillId="0" borderId="24" xfId="0" applyNumberFormat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D7EE-0D85-4899-8AFC-3B64FDFF18F9}">
  <dimension ref="A1:AF176"/>
  <sheetViews>
    <sheetView tabSelected="1" zoomScaleNormal="100" workbookViewId="0">
      <selection activeCell="R1" activeCellId="5" sqref="A1:A1048576 B1:B1048576 O1:O1048576 P1:P1048576 Q1:Q1048576 R1:R1048576"/>
    </sheetView>
  </sheetViews>
  <sheetFormatPr defaultRowHeight="15" x14ac:dyDescent="0.25"/>
  <cols>
    <col min="1" max="1" width="9.140625" style="1"/>
    <col min="2" max="2" width="12" style="1" bestFit="1" customWidth="1"/>
    <col min="3" max="3" width="10.28515625" style="1" bestFit="1" customWidth="1"/>
    <col min="4" max="5" width="9.140625" style="1"/>
    <col min="6" max="6" width="12" style="1" customWidth="1"/>
    <col min="7" max="7" width="16.85546875" style="1" customWidth="1"/>
    <col min="8" max="9" width="9.140625" style="1"/>
    <col min="10" max="10" width="11.28515625" style="1" customWidth="1"/>
    <col min="11" max="11" width="14.42578125" style="1" customWidth="1"/>
    <col min="12" max="12" width="10" style="1" bestFit="1" customWidth="1"/>
    <col min="13" max="13" width="79.42578125" style="43" bestFit="1" customWidth="1"/>
    <col min="14" max="19" width="9.140625" style="1"/>
    <col min="20" max="20" width="13.42578125" style="1" customWidth="1"/>
    <col min="21" max="21" width="12.5703125" style="1" customWidth="1"/>
    <col min="22" max="25" width="9.140625" style="1"/>
    <col min="26" max="26" width="8.42578125" style="1" customWidth="1"/>
    <col min="27" max="31" width="9.140625" style="1"/>
    <col min="32" max="32" width="15.7109375" style="1" bestFit="1" customWidth="1"/>
    <col min="33" max="16384" width="9.140625" style="1"/>
  </cols>
  <sheetData>
    <row r="1" spans="1:32" ht="23.25" customHeight="1" x14ac:dyDescent="0.25">
      <c r="A1" s="80" t="s">
        <v>0</v>
      </c>
      <c r="B1" s="78" t="s">
        <v>1</v>
      </c>
      <c r="C1" s="71" t="s">
        <v>2</v>
      </c>
      <c r="D1" s="71"/>
      <c r="E1" s="71" t="s">
        <v>3</v>
      </c>
      <c r="F1" s="69" t="s">
        <v>4</v>
      </c>
      <c r="G1" s="69" t="s">
        <v>5</v>
      </c>
      <c r="H1" s="69" t="s">
        <v>6</v>
      </c>
      <c r="I1" s="71" t="s">
        <v>7</v>
      </c>
      <c r="J1" s="71" t="s">
        <v>8</v>
      </c>
      <c r="K1" s="71"/>
      <c r="L1" s="69" t="s">
        <v>381</v>
      </c>
      <c r="M1" s="69" t="s">
        <v>10</v>
      </c>
      <c r="N1" s="71" t="s">
        <v>11</v>
      </c>
      <c r="O1" s="77" t="s">
        <v>12</v>
      </c>
      <c r="P1" s="77"/>
      <c r="Q1" s="77"/>
      <c r="R1" s="77"/>
      <c r="S1" s="71" t="s">
        <v>13</v>
      </c>
      <c r="T1" s="71"/>
      <c r="U1" s="71"/>
      <c r="V1" s="69" t="s">
        <v>14</v>
      </c>
      <c r="W1" s="69"/>
      <c r="X1" s="69"/>
      <c r="Y1" s="69" t="s">
        <v>15</v>
      </c>
      <c r="Z1" s="69"/>
      <c r="AA1" s="69"/>
      <c r="AB1" s="74" t="s">
        <v>16</v>
      </c>
      <c r="AC1" s="71" t="s">
        <v>17</v>
      </c>
      <c r="AD1" s="71"/>
      <c r="AE1" s="76"/>
      <c r="AF1" s="73" t="s">
        <v>380</v>
      </c>
    </row>
    <row r="2" spans="1:32" ht="26.25" customHeight="1" thickBot="1" x14ac:dyDescent="0.3">
      <c r="A2" s="81"/>
      <c r="B2" s="79"/>
      <c r="C2" s="2" t="s">
        <v>18</v>
      </c>
      <c r="D2" s="2" t="s">
        <v>19</v>
      </c>
      <c r="E2" s="72"/>
      <c r="F2" s="70"/>
      <c r="G2" s="70"/>
      <c r="H2" s="70"/>
      <c r="I2" s="72"/>
      <c r="J2" s="2" t="s">
        <v>9</v>
      </c>
      <c r="K2" s="2" t="s">
        <v>20</v>
      </c>
      <c r="L2" s="70"/>
      <c r="M2" s="70"/>
      <c r="N2" s="72"/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3" t="s">
        <v>26</v>
      </c>
      <c r="U2" s="3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3" t="s">
        <v>32</v>
      </c>
      <c r="AA2" s="4" t="s">
        <v>33</v>
      </c>
      <c r="AB2" s="75"/>
      <c r="AC2" s="4" t="s">
        <v>34</v>
      </c>
      <c r="AD2" s="5" t="s">
        <v>35</v>
      </c>
      <c r="AE2" s="6" t="s">
        <v>36</v>
      </c>
      <c r="AF2" s="73"/>
    </row>
    <row r="3" spans="1:32" x14ac:dyDescent="0.25">
      <c r="A3" s="66">
        <v>1</v>
      </c>
      <c r="B3" s="63" t="s">
        <v>37</v>
      </c>
      <c r="C3" s="7">
        <v>2973933</v>
      </c>
      <c r="D3" s="7">
        <v>645393</v>
      </c>
      <c r="E3" s="7">
        <v>154.30000000000001</v>
      </c>
      <c r="F3" s="7">
        <v>20.2</v>
      </c>
      <c r="G3" s="56">
        <v>20.2</v>
      </c>
      <c r="H3" s="7"/>
      <c r="I3" s="7">
        <v>6.6</v>
      </c>
      <c r="J3" s="7" t="s">
        <v>38</v>
      </c>
      <c r="K3" s="9">
        <v>6.1500000000000004E-6</v>
      </c>
      <c r="L3" s="7">
        <v>1</v>
      </c>
      <c r="M3" s="10" t="s">
        <v>39</v>
      </c>
      <c r="N3" s="7" t="s">
        <v>40</v>
      </c>
      <c r="O3" s="7">
        <v>0.1</v>
      </c>
      <c r="P3" s="7">
        <v>43.5</v>
      </c>
      <c r="Q3" s="7">
        <v>42.7</v>
      </c>
      <c r="R3" s="7">
        <v>13.7</v>
      </c>
      <c r="S3" s="7">
        <v>24.1</v>
      </c>
      <c r="T3" s="7">
        <v>1.9079999999999999</v>
      </c>
      <c r="U3" s="7">
        <v>1.5369999999999999</v>
      </c>
      <c r="V3" s="7" t="s">
        <v>41</v>
      </c>
      <c r="W3" s="7">
        <v>21.5</v>
      </c>
      <c r="X3" s="7">
        <v>13</v>
      </c>
      <c r="Y3" s="7" t="s">
        <v>42</v>
      </c>
      <c r="Z3" s="7">
        <v>0.46</v>
      </c>
      <c r="AA3" s="7">
        <v>7</v>
      </c>
      <c r="AB3" s="7">
        <v>2.7</v>
      </c>
      <c r="AC3" s="7">
        <v>0.19620000000000001</v>
      </c>
      <c r="AD3" s="7">
        <v>0.11169999999999999</v>
      </c>
      <c r="AE3" s="11">
        <v>0.75609999999999999</v>
      </c>
      <c r="AF3" s="1">
        <f>E3-F3</f>
        <v>134.10000000000002</v>
      </c>
    </row>
    <row r="4" spans="1:32" ht="15.75" thickBot="1" x14ac:dyDescent="0.3">
      <c r="A4" s="67"/>
      <c r="B4" s="64"/>
      <c r="C4" s="2"/>
      <c r="D4" s="2"/>
      <c r="E4" s="2"/>
      <c r="F4" s="2"/>
      <c r="G4" s="58"/>
      <c r="H4" s="2"/>
      <c r="I4" s="2"/>
      <c r="J4" s="2"/>
      <c r="K4" s="13"/>
      <c r="L4" s="2">
        <v>1.5</v>
      </c>
      <c r="M4" s="3" t="s">
        <v>43</v>
      </c>
      <c r="N4" s="2">
        <v>44</v>
      </c>
      <c r="O4" s="2">
        <v>21.7</v>
      </c>
      <c r="P4" s="2">
        <v>54</v>
      </c>
      <c r="Q4" s="2">
        <v>20</v>
      </c>
      <c r="R4" s="2">
        <v>4.3</v>
      </c>
      <c r="S4" s="2">
        <v>17.2</v>
      </c>
      <c r="T4" s="2">
        <v>2.0270000000000001</v>
      </c>
      <c r="U4" s="2">
        <v>1.73</v>
      </c>
      <c r="V4" s="2" t="s">
        <v>44</v>
      </c>
      <c r="W4" s="2"/>
      <c r="X4" s="2"/>
      <c r="Y4" s="2" t="s">
        <v>45</v>
      </c>
      <c r="Z4" s="2">
        <v>0.06</v>
      </c>
      <c r="AA4" s="2">
        <v>36.5</v>
      </c>
      <c r="AB4" s="2">
        <v>2.67</v>
      </c>
      <c r="AC4" s="2" t="s">
        <v>40</v>
      </c>
      <c r="AD4" s="2" t="s">
        <v>40</v>
      </c>
      <c r="AE4" s="14" t="s">
        <v>40</v>
      </c>
      <c r="AF4" s="1">
        <f t="shared" ref="AF4:AF67" si="0">E4-F4</f>
        <v>0</v>
      </c>
    </row>
    <row r="5" spans="1:32" x14ac:dyDescent="0.25">
      <c r="A5" s="66">
        <v>2</v>
      </c>
      <c r="B5" s="63" t="s">
        <v>46</v>
      </c>
      <c r="C5" s="7">
        <v>2974162</v>
      </c>
      <c r="D5" s="7">
        <v>646056</v>
      </c>
      <c r="E5" s="7">
        <v>171.4</v>
      </c>
      <c r="F5" s="7">
        <v>28.1</v>
      </c>
      <c r="G5" s="56">
        <v>10.5</v>
      </c>
      <c r="H5" s="8">
        <v>5.5</v>
      </c>
      <c r="I5" s="7">
        <v>6.75</v>
      </c>
      <c r="J5" s="7"/>
      <c r="K5" s="7"/>
      <c r="L5" s="7">
        <v>0.5</v>
      </c>
      <c r="M5" s="10" t="s">
        <v>47</v>
      </c>
      <c r="N5" s="7" t="s">
        <v>40</v>
      </c>
      <c r="O5" s="7">
        <v>10.4</v>
      </c>
      <c r="P5" s="7">
        <v>75.5</v>
      </c>
      <c r="Q5" s="7" t="s">
        <v>48</v>
      </c>
      <c r="R5" s="7"/>
      <c r="S5" s="7">
        <v>17.399999999999999</v>
      </c>
      <c r="T5" s="7">
        <v>1.853</v>
      </c>
      <c r="U5" s="7">
        <v>1.5780000000000001</v>
      </c>
      <c r="V5" s="7" t="s">
        <v>44</v>
      </c>
      <c r="W5" s="7"/>
      <c r="X5" s="7"/>
      <c r="Y5" s="7" t="s">
        <v>45</v>
      </c>
      <c r="Z5" s="7">
        <v>0</v>
      </c>
      <c r="AA5" s="7">
        <v>31</v>
      </c>
      <c r="AB5" s="7">
        <v>2.65</v>
      </c>
      <c r="AC5" s="7" t="s">
        <v>40</v>
      </c>
      <c r="AD5" s="7" t="s">
        <v>40</v>
      </c>
      <c r="AE5" s="11" t="s">
        <v>40</v>
      </c>
      <c r="AF5" s="1">
        <f t="shared" si="0"/>
        <v>143.30000000000001</v>
      </c>
    </row>
    <row r="6" spans="1:32" x14ac:dyDescent="0.25">
      <c r="A6" s="68"/>
      <c r="B6" s="65"/>
      <c r="C6" s="15"/>
      <c r="D6" s="15"/>
      <c r="E6" s="15"/>
      <c r="F6" s="15"/>
      <c r="G6" s="57"/>
      <c r="H6" s="16"/>
      <c r="I6" s="15"/>
      <c r="J6" s="15"/>
      <c r="K6" s="15"/>
      <c r="L6" s="15">
        <v>1</v>
      </c>
      <c r="M6" s="17" t="s">
        <v>49</v>
      </c>
      <c r="N6" s="15">
        <v>10</v>
      </c>
      <c r="O6" s="15">
        <v>17.5</v>
      </c>
      <c r="P6" s="15">
        <v>48.1</v>
      </c>
      <c r="Q6" s="15">
        <v>27.2</v>
      </c>
      <c r="R6" s="15">
        <v>7.2</v>
      </c>
      <c r="S6" s="15">
        <v>19</v>
      </c>
      <c r="T6" s="15">
        <v>1.87</v>
      </c>
      <c r="U6" s="15">
        <v>1.571</v>
      </c>
      <c r="V6" s="15" t="s">
        <v>50</v>
      </c>
      <c r="W6" s="15">
        <v>15.6</v>
      </c>
      <c r="X6" s="15">
        <v>7</v>
      </c>
      <c r="Y6" s="15" t="s">
        <v>45</v>
      </c>
      <c r="Z6" s="15">
        <v>0.12</v>
      </c>
      <c r="AA6" s="15">
        <v>31.5</v>
      </c>
      <c r="AB6" s="15">
        <v>2.67</v>
      </c>
      <c r="AC6" s="15" t="s">
        <v>40</v>
      </c>
      <c r="AD6" s="15" t="s">
        <v>40</v>
      </c>
      <c r="AE6" s="18" t="s">
        <v>40</v>
      </c>
      <c r="AF6" s="1">
        <f t="shared" si="0"/>
        <v>0</v>
      </c>
    </row>
    <row r="7" spans="1:32" x14ac:dyDescent="0.25">
      <c r="A7" s="68"/>
      <c r="B7" s="65"/>
      <c r="C7" s="15"/>
      <c r="D7" s="15"/>
      <c r="E7" s="15"/>
      <c r="F7" s="15"/>
      <c r="G7" s="57"/>
      <c r="H7" s="16"/>
      <c r="I7" s="15"/>
      <c r="J7" s="15"/>
      <c r="K7" s="15"/>
      <c r="L7" s="15">
        <v>2.5</v>
      </c>
      <c r="M7" s="17" t="s">
        <v>51</v>
      </c>
      <c r="N7" s="15">
        <v>16</v>
      </c>
      <c r="O7" s="15">
        <v>2</v>
      </c>
      <c r="P7" s="15">
        <v>71.3</v>
      </c>
      <c r="Q7" s="15" t="s">
        <v>52</v>
      </c>
      <c r="R7" s="15"/>
      <c r="S7" s="15">
        <v>16.600000000000001</v>
      </c>
      <c r="T7" s="15">
        <v>1.9330000000000001</v>
      </c>
      <c r="U7" s="15">
        <v>1.6579999999999999</v>
      </c>
      <c r="V7" s="15" t="s">
        <v>44</v>
      </c>
      <c r="W7" s="15"/>
      <c r="X7" s="15"/>
      <c r="Y7" s="15" t="s">
        <v>45</v>
      </c>
      <c r="Z7" s="15">
        <v>0</v>
      </c>
      <c r="AA7" s="15">
        <v>33</v>
      </c>
      <c r="AB7" s="15">
        <v>2.65</v>
      </c>
      <c r="AC7" s="15" t="s">
        <v>40</v>
      </c>
      <c r="AD7" s="15" t="s">
        <v>40</v>
      </c>
      <c r="AE7" s="18" t="s">
        <v>40</v>
      </c>
      <c r="AF7" s="1">
        <f t="shared" si="0"/>
        <v>0</v>
      </c>
    </row>
    <row r="8" spans="1:32" ht="15.75" thickBot="1" x14ac:dyDescent="0.3">
      <c r="A8" s="67"/>
      <c r="B8" s="64"/>
      <c r="C8" s="2"/>
      <c r="D8" s="2"/>
      <c r="E8" s="2"/>
      <c r="F8" s="2"/>
      <c r="G8" s="58"/>
      <c r="H8" s="12"/>
      <c r="I8" s="2"/>
      <c r="J8" s="2"/>
      <c r="K8" s="2"/>
      <c r="L8" s="2">
        <v>4</v>
      </c>
      <c r="M8" s="3" t="s">
        <v>53</v>
      </c>
      <c r="N8" s="2">
        <v>27</v>
      </c>
      <c r="O8" s="2">
        <v>17</v>
      </c>
      <c r="P8" s="2">
        <v>52</v>
      </c>
      <c r="Q8" s="2">
        <v>23.9</v>
      </c>
      <c r="R8" s="2">
        <v>7.1</v>
      </c>
      <c r="S8" s="2">
        <v>18.2</v>
      </c>
      <c r="T8" s="2">
        <v>2</v>
      </c>
      <c r="U8" s="2">
        <v>1.6919999999999999</v>
      </c>
      <c r="V8" s="2" t="s">
        <v>54</v>
      </c>
      <c r="W8" s="2">
        <v>17.3</v>
      </c>
      <c r="X8" s="2">
        <v>6.6</v>
      </c>
      <c r="Y8" s="2" t="s">
        <v>45</v>
      </c>
      <c r="Z8" s="2">
        <v>0.1</v>
      </c>
      <c r="AA8" s="2">
        <v>35</v>
      </c>
      <c r="AB8" s="2">
        <v>2.67</v>
      </c>
      <c r="AC8" s="2" t="s">
        <v>40</v>
      </c>
      <c r="AD8" s="2" t="s">
        <v>40</v>
      </c>
      <c r="AE8" s="14" t="s">
        <v>40</v>
      </c>
      <c r="AF8" s="1">
        <f t="shared" si="0"/>
        <v>0</v>
      </c>
    </row>
    <row r="9" spans="1:32" ht="15.75" thickBot="1" x14ac:dyDescent="0.3">
      <c r="A9" s="1">
        <v>3</v>
      </c>
      <c r="B9" s="19" t="s">
        <v>55</v>
      </c>
      <c r="C9" s="20">
        <v>2978023</v>
      </c>
      <c r="D9" s="20">
        <v>645014</v>
      </c>
      <c r="E9" s="20">
        <v>179.3</v>
      </c>
      <c r="F9" s="20">
        <v>75.5</v>
      </c>
      <c r="G9" s="21">
        <v>2.09</v>
      </c>
      <c r="H9" s="21"/>
      <c r="I9" s="20">
        <v>23.9</v>
      </c>
      <c r="J9" s="20" t="s">
        <v>56</v>
      </c>
      <c r="K9" s="22">
        <v>1.66E-4</v>
      </c>
      <c r="L9" s="20">
        <v>1</v>
      </c>
      <c r="M9" s="23" t="s">
        <v>57</v>
      </c>
      <c r="N9" s="20">
        <v>16</v>
      </c>
      <c r="O9" s="20">
        <v>15</v>
      </c>
      <c r="P9" s="20">
        <v>74</v>
      </c>
      <c r="Q9" s="20" t="s">
        <v>58</v>
      </c>
      <c r="R9" s="20"/>
      <c r="S9" s="20">
        <v>16.7</v>
      </c>
      <c r="T9" s="20">
        <v>1.9419999999999999</v>
      </c>
      <c r="U9" s="20">
        <v>1.6639999999999999</v>
      </c>
      <c r="V9" s="20" t="s">
        <v>44</v>
      </c>
      <c r="W9" s="20"/>
      <c r="X9" s="20"/>
      <c r="Y9" s="20" t="s">
        <v>45</v>
      </c>
      <c r="Z9" s="20">
        <v>0</v>
      </c>
      <c r="AA9" s="20">
        <v>34</v>
      </c>
      <c r="AB9" s="20">
        <v>2.67</v>
      </c>
      <c r="AC9" s="20" t="s">
        <v>40</v>
      </c>
      <c r="AD9" s="20" t="s">
        <v>40</v>
      </c>
      <c r="AE9" s="24" t="s">
        <v>40</v>
      </c>
      <c r="AF9" s="1">
        <f t="shared" si="0"/>
        <v>103.80000000000001</v>
      </c>
    </row>
    <row r="10" spans="1:32" ht="15.75" thickBot="1" x14ac:dyDescent="0.3">
      <c r="A10" s="1">
        <v>4</v>
      </c>
      <c r="B10" s="19" t="s">
        <v>59</v>
      </c>
      <c r="C10" s="20">
        <v>2978046</v>
      </c>
      <c r="D10" s="20">
        <v>645002</v>
      </c>
      <c r="E10" s="20">
        <v>160.1</v>
      </c>
      <c r="F10" s="20">
        <v>40.14</v>
      </c>
      <c r="G10" s="21">
        <v>1.8</v>
      </c>
      <c r="H10" s="21"/>
      <c r="I10" s="20">
        <v>6.55</v>
      </c>
      <c r="J10" s="20"/>
      <c r="K10" s="20"/>
      <c r="L10" s="20">
        <v>0.5</v>
      </c>
      <c r="M10" s="23" t="s">
        <v>60</v>
      </c>
      <c r="N10" s="20" t="s">
        <v>40</v>
      </c>
      <c r="O10" s="20">
        <v>12.5</v>
      </c>
      <c r="P10" s="20">
        <v>73.7</v>
      </c>
      <c r="Q10" s="20" t="s">
        <v>61</v>
      </c>
      <c r="R10" s="20"/>
      <c r="S10" s="20">
        <v>15.4</v>
      </c>
      <c r="T10" s="20">
        <v>1.917</v>
      </c>
      <c r="U10" s="20">
        <v>1.661</v>
      </c>
      <c r="V10" s="20" t="s">
        <v>44</v>
      </c>
      <c r="W10" s="20"/>
      <c r="X10" s="20"/>
      <c r="Y10" s="20" t="s">
        <v>45</v>
      </c>
      <c r="Z10" s="20">
        <v>0</v>
      </c>
      <c r="AA10" s="20">
        <v>32</v>
      </c>
      <c r="AB10" s="20">
        <v>2.67</v>
      </c>
      <c r="AC10" s="20" t="s">
        <v>40</v>
      </c>
      <c r="AD10" s="20" t="s">
        <v>40</v>
      </c>
      <c r="AE10" s="24" t="s">
        <v>40</v>
      </c>
      <c r="AF10" s="1">
        <f t="shared" si="0"/>
        <v>119.96</v>
      </c>
    </row>
    <row r="11" spans="1:32" x14ac:dyDescent="0.25">
      <c r="A11" s="61">
        <v>5</v>
      </c>
      <c r="B11" s="63" t="s">
        <v>62</v>
      </c>
      <c r="C11" s="7">
        <v>2978179</v>
      </c>
      <c r="D11" s="7">
        <v>644849</v>
      </c>
      <c r="E11" s="7">
        <v>228</v>
      </c>
      <c r="F11" s="7">
        <v>40.04</v>
      </c>
      <c r="G11" s="56">
        <v>3.45</v>
      </c>
      <c r="H11" s="7"/>
      <c r="I11" s="7">
        <v>14.3</v>
      </c>
      <c r="J11" s="7"/>
      <c r="K11" s="7"/>
      <c r="L11" s="7">
        <v>1</v>
      </c>
      <c r="M11" s="10" t="s">
        <v>63</v>
      </c>
      <c r="N11" s="7">
        <v>9</v>
      </c>
      <c r="O11" s="7">
        <v>2.5</v>
      </c>
      <c r="P11" s="7">
        <v>62.6</v>
      </c>
      <c r="Q11" s="7">
        <v>34.9</v>
      </c>
      <c r="R11" s="7"/>
      <c r="S11" s="7">
        <v>16.899999999999999</v>
      </c>
      <c r="T11" s="7">
        <v>1.84</v>
      </c>
      <c r="U11" s="7">
        <v>1.5740000000000001</v>
      </c>
      <c r="V11" s="7" t="s">
        <v>44</v>
      </c>
      <c r="W11" s="7"/>
      <c r="X11" s="7"/>
      <c r="Y11" s="7" t="s">
        <v>45</v>
      </c>
      <c r="Z11" s="7">
        <v>0.05</v>
      </c>
      <c r="AA11" s="7">
        <v>31</v>
      </c>
      <c r="AB11" s="7">
        <v>2.66</v>
      </c>
      <c r="AC11" s="7" t="s">
        <v>40</v>
      </c>
      <c r="AD11" s="7" t="s">
        <v>40</v>
      </c>
      <c r="AE11" s="11" t="s">
        <v>40</v>
      </c>
      <c r="AF11" s="1">
        <f t="shared" si="0"/>
        <v>187.96</v>
      </c>
    </row>
    <row r="12" spans="1:32" ht="15.75" thickBot="1" x14ac:dyDescent="0.3">
      <c r="A12" s="61"/>
      <c r="B12" s="64"/>
      <c r="C12" s="2"/>
      <c r="D12" s="2"/>
      <c r="E12" s="2"/>
      <c r="F12" s="2"/>
      <c r="G12" s="58"/>
      <c r="H12" s="2"/>
      <c r="I12" s="2"/>
      <c r="J12" s="2"/>
      <c r="K12" s="2"/>
      <c r="L12" s="2">
        <v>2.5</v>
      </c>
      <c r="M12" s="3" t="s">
        <v>64</v>
      </c>
      <c r="N12" s="2">
        <v>21</v>
      </c>
      <c r="O12" s="2">
        <v>14.2</v>
      </c>
      <c r="P12" s="2">
        <v>57.8</v>
      </c>
      <c r="Q12" s="2" t="s">
        <v>65</v>
      </c>
      <c r="R12" s="2"/>
      <c r="S12" s="2">
        <v>16.2</v>
      </c>
      <c r="T12" s="2">
        <v>1.952</v>
      </c>
      <c r="U12" s="2">
        <v>1.68</v>
      </c>
      <c r="V12" s="2" t="s">
        <v>44</v>
      </c>
      <c r="W12" s="2"/>
      <c r="X12" s="2"/>
      <c r="Y12" s="2" t="s">
        <v>45</v>
      </c>
      <c r="Z12" s="2">
        <v>0</v>
      </c>
      <c r="AA12" s="2">
        <v>34.5</v>
      </c>
      <c r="AB12" s="2">
        <v>2.67</v>
      </c>
      <c r="AC12" s="2" t="s">
        <v>40</v>
      </c>
      <c r="AD12" s="2" t="s">
        <v>40</v>
      </c>
      <c r="AE12" s="14" t="s">
        <v>40</v>
      </c>
      <c r="AF12" s="1">
        <f t="shared" si="0"/>
        <v>0</v>
      </c>
    </row>
    <row r="13" spans="1:32" ht="15.75" thickBot="1" x14ac:dyDescent="0.3">
      <c r="A13" s="1">
        <v>6</v>
      </c>
      <c r="B13" s="19" t="s">
        <v>66</v>
      </c>
      <c r="C13" s="20">
        <v>2978784</v>
      </c>
      <c r="D13" s="20">
        <v>644212</v>
      </c>
      <c r="E13" s="20">
        <v>223.7</v>
      </c>
      <c r="F13" s="20">
        <v>62.59</v>
      </c>
      <c r="G13" s="21">
        <v>1.2</v>
      </c>
      <c r="H13" s="20"/>
      <c r="I13" s="20">
        <v>15.06</v>
      </c>
      <c r="J13" s="20"/>
      <c r="K13" s="20"/>
      <c r="L13" s="20">
        <v>0.5</v>
      </c>
      <c r="M13" s="23" t="s">
        <v>67</v>
      </c>
      <c r="N13" s="20" t="s">
        <v>40</v>
      </c>
      <c r="O13" s="20">
        <v>39.9</v>
      </c>
      <c r="P13" s="20">
        <v>38.299999999999997</v>
      </c>
      <c r="Q13" s="20" t="s">
        <v>68</v>
      </c>
      <c r="R13" s="20"/>
      <c r="S13" s="20" t="s">
        <v>40</v>
      </c>
      <c r="T13" s="20" t="s">
        <v>40</v>
      </c>
      <c r="U13" s="20" t="s">
        <v>40</v>
      </c>
      <c r="V13" s="20" t="s">
        <v>44</v>
      </c>
      <c r="W13" s="20"/>
      <c r="X13" s="20"/>
      <c r="Y13" s="20" t="s">
        <v>40</v>
      </c>
      <c r="Z13" s="20" t="s">
        <v>40</v>
      </c>
      <c r="AA13" s="20" t="s">
        <v>40</v>
      </c>
      <c r="AB13" s="20">
        <v>2.7</v>
      </c>
      <c r="AC13" s="20" t="s">
        <v>40</v>
      </c>
      <c r="AD13" s="20" t="s">
        <v>40</v>
      </c>
      <c r="AE13" s="24" t="s">
        <v>40</v>
      </c>
      <c r="AF13" s="1">
        <f t="shared" si="0"/>
        <v>161.10999999999999</v>
      </c>
    </row>
    <row r="14" spans="1:32" ht="15.75" thickBot="1" x14ac:dyDescent="0.3">
      <c r="A14" s="1">
        <v>7</v>
      </c>
      <c r="B14" s="19" t="s">
        <v>69</v>
      </c>
      <c r="C14" s="20">
        <v>2978764.4</v>
      </c>
      <c r="D14" s="20">
        <v>644228</v>
      </c>
      <c r="E14" s="20">
        <v>240.5</v>
      </c>
      <c r="F14" s="20">
        <v>39.15</v>
      </c>
      <c r="G14" s="21">
        <v>1.2</v>
      </c>
      <c r="H14" s="20"/>
      <c r="I14" s="20">
        <v>31.35</v>
      </c>
      <c r="J14" s="20"/>
      <c r="K14" s="20"/>
      <c r="L14" s="20">
        <v>0.5</v>
      </c>
      <c r="M14" s="23" t="s">
        <v>70</v>
      </c>
      <c r="N14" s="20" t="s">
        <v>40</v>
      </c>
      <c r="O14" s="20">
        <v>32.6</v>
      </c>
      <c r="P14" s="20">
        <v>52.9</v>
      </c>
      <c r="Q14" s="20" t="s">
        <v>71</v>
      </c>
      <c r="R14" s="20"/>
      <c r="S14" s="20" t="s">
        <v>40</v>
      </c>
      <c r="T14" s="20" t="s">
        <v>40</v>
      </c>
      <c r="U14" s="20" t="s">
        <v>40</v>
      </c>
      <c r="V14" s="20" t="s">
        <v>44</v>
      </c>
      <c r="W14" s="20"/>
      <c r="X14" s="20"/>
      <c r="Y14" s="20" t="s">
        <v>40</v>
      </c>
      <c r="Z14" s="20" t="s">
        <v>40</v>
      </c>
      <c r="AA14" s="20" t="s">
        <v>40</v>
      </c>
      <c r="AB14" s="20" t="s">
        <v>40</v>
      </c>
      <c r="AC14" s="20" t="s">
        <v>40</v>
      </c>
      <c r="AD14" s="20" t="s">
        <v>40</v>
      </c>
      <c r="AE14" s="24" t="s">
        <v>72</v>
      </c>
      <c r="AF14" s="1">
        <f t="shared" si="0"/>
        <v>201.35</v>
      </c>
    </row>
    <row r="15" spans="1:32" ht="15.75" thickBot="1" x14ac:dyDescent="0.3">
      <c r="A15" s="1">
        <v>8</v>
      </c>
      <c r="B15" s="19" t="s">
        <v>73</v>
      </c>
      <c r="C15" s="20">
        <v>2978923</v>
      </c>
      <c r="D15" s="20">
        <v>644064</v>
      </c>
      <c r="E15" s="20">
        <v>165.1</v>
      </c>
      <c r="F15" s="20">
        <v>40.200000000000003</v>
      </c>
      <c r="G15" s="21">
        <v>8</v>
      </c>
      <c r="H15" s="20"/>
      <c r="I15" s="20">
        <v>1.6</v>
      </c>
      <c r="J15" s="25" t="s">
        <v>74</v>
      </c>
      <c r="K15" s="22">
        <v>2.33E-4</v>
      </c>
      <c r="L15" s="20">
        <v>0.5</v>
      </c>
      <c r="M15" s="23" t="s">
        <v>75</v>
      </c>
      <c r="N15" s="20" t="s">
        <v>40</v>
      </c>
      <c r="O15" s="20">
        <v>40.4</v>
      </c>
      <c r="P15" s="20">
        <v>55.1</v>
      </c>
      <c r="Q15" s="20" t="s">
        <v>76</v>
      </c>
      <c r="R15" s="20"/>
      <c r="S15" s="20" t="s">
        <v>40</v>
      </c>
      <c r="T15" s="20" t="s">
        <v>40</v>
      </c>
      <c r="U15" s="20" t="s">
        <v>40</v>
      </c>
      <c r="V15" s="20" t="s">
        <v>44</v>
      </c>
      <c r="W15" s="20"/>
      <c r="X15" s="20"/>
      <c r="Y15" s="20" t="s">
        <v>40</v>
      </c>
      <c r="Z15" s="20" t="s">
        <v>40</v>
      </c>
      <c r="AA15" s="20" t="s">
        <v>40</v>
      </c>
      <c r="AB15" s="20">
        <v>2.7</v>
      </c>
      <c r="AC15" s="20" t="s">
        <v>40</v>
      </c>
      <c r="AD15" s="20" t="s">
        <v>40</v>
      </c>
      <c r="AE15" s="24" t="s">
        <v>40</v>
      </c>
      <c r="AF15" s="1">
        <f t="shared" si="0"/>
        <v>124.89999999999999</v>
      </c>
    </row>
    <row r="16" spans="1:32" ht="15.75" thickBot="1" x14ac:dyDescent="0.3">
      <c r="A16" s="1">
        <v>9</v>
      </c>
      <c r="B16" s="19" t="s">
        <v>77</v>
      </c>
      <c r="C16" s="20">
        <v>2979054</v>
      </c>
      <c r="D16" s="20">
        <v>643922</v>
      </c>
      <c r="E16" s="20">
        <v>205.4</v>
      </c>
      <c r="F16" s="20">
        <v>33.770000000000003</v>
      </c>
      <c r="G16" s="21">
        <v>20</v>
      </c>
      <c r="H16" s="21">
        <v>2.75</v>
      </c>
      <c r="I16" s="21">
        <v>11.07</v>
      </c>
      <c r="J16" s="20"/>
      <c r="K16" s="20"/>
      <c r="L16" s="20">
        <v>0.5</v>
      </c>
      <c r="M16" s="23" t="s">
        <v>78</v>
      </c>
      <c r="N16" s="20" t="s">
        <v>40</v>
      </c>
      <c r="O16" s="20">
        <v>17.100000000000001</v>
      </c>
      <c r="P16" s="20">
        <v>49.2</v>
      </c>
      <c r="Q16" s="20">
        <v>27.3</v>
      </c>
      <c r="R16" s="20">
        <v>6.4</v>
      </c>
      <c r="S16" s="20">
        <v>19.3</v>
      </c>
      <c r="T16" s="20">
        <v>1.861</v>
      </c>
      <c r="U16" s="20">
        <v>1.56</v>
      </c>
      <c r="V16" s="20" t="s">
        <v>79</v>
      </c>
      <c r="W16" s="20">
        <v>18.399999999999999</v>
      </c>
      <c r="X16" s="20">
        <v>7.7</v>
      </c>
      <c r="Y16" s="20" t="s">
        <v>45</v>
      </c>
      <c r="Z16" s="20">
        <v>0.12</v>
      </c>
      <c r="AA16" s="20">
        <v>30.5</v>
      </c>
      <c r="AB16" s="20">
        <v>2.66</v>
      </c>
      <c r="AC16" s="20" t="s">
        <v>40</v>
      </c>
      <c r="AD16" s="20" t="s">
        <v>40</v>
      </c>
      <c r="AE16" s="24" t="s">
        <v>40</v>
      </c>
      <c r="AF16" s="1">
        <f t="shared" si="0"/>
        <v>171.63</v>
      </c>
    </row>
    <row r="17" spans="1:32" x14ac:dyDescent="0.25">
      <c r="A17" s="61">
        <v>10</v>
      </c>
      <c r="B17" s="63" t="s">
        <v>80</v>
      </c>
      <c r="C17" s="7">
        <v>2979086.6</v>
      </c>
      <c r="D17" s="7">
        <v>643891.80000000005</v>
      </c>
      <c r="E17" s="7">
        <v>230.3</v>
      </c>
      <c r="F17" s="7">
        <v>26.2</v>
      </c>
      <c r="G17" s="56">
        <v>17.5</v>
      </c>
      <c r="H17" s="7"/>
      <c r="I17" s="7" t="s">
        <v>81</v>
      </c>
      <c r="J17" s="7" t="s">
        <v>82</v>
      </c>
      <c r="K17" s="9">
        <v>5.9599999999999997E-6</v>
      </c>
      <c r="L17" s="7">
        <v>1</v>
      </c>
      <c r="M17" s="10" t="s">
        <v>83</v>
      </c>
      <c r="N17" s="7">
        <v>8</v>
      </c>
      <c r="O17" s="7">
        <v>24.4</v>
      </c>
      <c r="P17" s="7">
        <v>50.8</v>
      </c>
      <c r="Q17" s="7" t="s">
        <v>84</v>
      </c>
      <c r="R17" s="7"/>
      <c r="S17" s="7">
        <v>16.899999999999999</v>
      </c>
      <c r="T17" s="7">
        <v>1.88</v>
      </c>
      <c r="U17" s="7">
        <v>1.6080000000000001</v>
      </c>
      <c r="V17" s="7" t="s">
        <v>44</v>
      </c>
      <c r="W17" s="7"/>
      <c r="X17" s="7"/>
      <c r="Y17" s="7" t="s">
        <v>45</v>
      </c>
      <c r="Z17" s="7">
        <v>0</v>
      </c>
      <c r="AA17" s="7">
        <v>32</v>
      </c>
      <c r="AB17" s="7">
        <v>2.67</v>
      </c>
      <c r="AC17" s="7" t="s">
        <v>40</v>
      </c>
      <c r="AD17" s="7" t="s">
        <v>40</v>
      </c>
      <c r="AE17" s="11" t="s">
        <v>40</v>
      </c>
      <c r="AF17" s="1">
        <f t="shared" si="0"/>
        <v>204.10000000000002</v>
      </c>
    </row>
    <row r="18" spans="1:32" x14ac:dyDescent="0.25">
      <c r="A18" s="61"/>
      <c r="B18" s="65"/>
      <c r="C18" s="15"/>
      <c r="D18" s="15"/>
      <c r="E18" s="15"/>
      <c r="F18" s="15"/>
      <c r="G18" s="57"/>
      <c r="H18" s="15"/>
      <c r="I18" s="15"/>
      <c r="J18" s="15"/>
      <c r="K18" s="26"/>
      <c r="L18" s="15">
        <v>1</v>
      </c>
      <c r="M18" s="17" t="s">
        <v>85</v>
      </c>
      <c r="N18" s="15" t="s">
        <v>40</v>
      </c>
      <c r="O18" s="15">
        <v>5.7</v>
      </c>
      <c r="P18" s="15">
        <v>34.299999999999997</v>
      </c>
      <c r="Q18" s="15">
        <v>44.4</v>
      </c>
      <c r="R18" s="15">
        <v>15.6</v>
      </c>
      <c r="S18" s="15">
        <v>24.1</v>
      </c>
      <c r="T18" s="15">
        <v>1.917</v>
      </c>
      <c r="U18" s="15">
        <v>1.5449999999999999</v>
      </c>
      <c r="V18" s="15" t="s">
        <v>86</v>
      </c>
      <c r="W18" s="15">
        <v>22.1</v>
      </c>
      <c r="X18" s="15">
        <v>13.8</v>
      </c>
      <c r="Y18" s="15" t="s">
        <v>42</v>
      </c>
      <c r="Z18" s="15">
        <v>0.53</v>
      </c>
      <c r="AA18" s="15">
        <v>5</v>
      </c>
      <c r="AB18" s="15">
        <v>2.67</v>
      </c>
      <c r="AC18" s="15">
        <v>0.21870000000000001</v>
      </c>
      <c r="AD18" s="15">
        <v>0.1265</v>
      </c>
      <c r="AE18" s="18">
        <v>0.72850000000000004</v>
      </c>
      <c r="AF18" s="1">
        <f t="shared" si="0"/>
        <v>0</v>
      </c>
    </row>
    <row r="19" spans="1:32" x14ac:dyDescent="0.25">
      <c r="A19" s="61"/>
      <c r="B19" s="65"/>
      <c r="C19" s="15"/>
      <c r="D19" s="15"/>
      <c r="E19" s="15"/>
      <c r="F19" s="15"/>
      <c r="G19" s="57"/>
      <c r="H19" s="15"/>
      <c r="I19" s="15"/>
      <c r="J19" s="15"/>
      <c r="K19" s="26"/>
      <c r="L19" s="15">
        <v>3</v>
      </c>
      <c r="M19" s="17" t="s">
        <v>85</v>
      </c>
      <c r="N19" s="15">
        <v>15</v>
      </c>
      <c r="O19" s="15">
        <v>8</v>
      </c>
      <c r="P19" s="15">
        <v>39.700000000000003</v>
      </c>
      <c r="Q19" s="15">
        <v>40.299999999999997</v>
      </c>
      <c r="R19" s="15">
        <v>12</v>
      </c>
      <c r="S19" s="15" t="s">
        <v>40</v>
      </c>
      <c r="T19" s="15" t="s">
        <v>40</v>
      </c>
      <c r="U19" s="15" t="s">
        <v>40</v>
      </c>
      <c r="V19" s="15" t="s">
        <v>87</v>
      </c>
      <c r="W19" s="15">
        <v>22.6</v>
      </c>
      <c r="X19" s="15">
        <v>11.2</v>
      </c>
      <c r="Y19" s="15" t="s">
        <v>40</v>
      </c>
      <c r="Z19" s="15" t="s">
        <v>40</v>
      </c>
      <c r="AA19" s="15" t="s">
        <v>40</v>
      </c>
      <c r="AB19" s="15">
        <v>2.67</v>
      </c>
      <c r="AC19" s="15" t="s">
        <v>40</v>
      </c>
      <c r="AD19" s="15" t="s">
        <v>40</v>
      </c>
      <c r="AE19" s="18" t="s">
        <v>40</v>
      </c>
      <c r="AF19" s="1">
        <f t="shared" si="0"/>
        <v>0</v>
      </c>
    </row>
    <row r="20" spans="1:32" x14ac:dyDescent="0.25">
      <c r="A20" s="61"/>
      <c r="B20" s="65"/>
      <c r="C20" s="15"/>
      <c r="D20" s="15"/>
      <c r="E20" s="15"/>
      <c r="F20" s="15"/>
      <c r="G20" s="57"/>
      <c r="H20" s="15"/>
      <c r="I20" s="15"/>
      <c r="J20" s="15"/>
      <c r="K20" s="26"/>
      <c r="L20" s="15">
        <v>4</v>
      </c>
      <c r="M20" s="17" t="s">
        <v>88</v>
      </c>
      <c r="N20" s="15" t="s">
        <v>40</v>
      </c>
      <c r="O20" s="15">
        <v>12</v>
      </c>
      <c r="P20" s="15">
        <v>53.7</v>
      </c>
      <c r="Q20" s="15">
        <v>29.3</v>
      </c>
      <c r="R20" s="15">
        <v>5</v>
      </c>
      <c r="S20" s="15">
        <v>20.3</v>
      </c>
      <c r="T20" s="15">
        <v>1.9490000000000001</v>
      </c>
      <c r="U20" s="15">
        <v>1.62</v>
      </c>
      <c r="V20" s="15" t="s">
        <v>44</v>
      </c>
      <c r="W20" s="15"/>
      <c r="X20" s="15"/>
      <c r="Y20" s="15" t="s">
        <v>89</v>
      </c>
      <c r="Z20" s="15">
        <v>0.12</v>
      </c>
      <c r="AA20" s="15">
        <v>33.5</v>
      </c>
      <c r="AB20" s="15">
        <v>2.7</v>
      </c>
      <c r="AC20" s="15" t="s">
        <v>40</v>
      </c>
      <c r="AD20" s="15" t="s">
        <v>40</v>
      </c>
      <c r="AE20" s="18" t="s">
        <v>40</v>
      </c>
      <c r="AF20" s="1">
        <f t="shared" si="0"/>
        <v>0</v>
      </c>
    </row>
    <row r="21" spans="1:32" ht="15.75" thickBot="1" x14ac:dyDescent="0.3">
      <c r="A21" s="61"/>
      <c r="B21" s="64"/>
      <c r="C21" s="2"/>
      <c r="D21" s="2"/>
      <c r="E21" s="2"/>
      <c r="F21" s="2"/>
      <c r="G21" s="58"/>
      <c r="H21" s="2"/>
      <c r="I21" s="2"/>
      <c r="J21" s="2"/>
      <c r="K21" s="13"/>
      <c r="L21" s="2">
        <v>5.5</v>
      </c>
      <c r="M21" s="3" t="s">
        <v>88</v>
      </c>
      <c r="N21" s="2" t="s">
        <v>40</v>
      </c>
      <c r="O21" s="2">
        <v>14.7</v>
      </c>
      <c r="P21" s="2">
        <v>56.6</v>
      </c>
      <c r="Q21" s="2">
        <v>23.7</v>
      </c>
      <c r="R21" s="2">
        <v>5</v>
      </c>
      <c r="S21" s="2">
        <v>21.2</v>
      </c>
      <c r="T21" s="2">
        <v>1.96</v>
      </c>
      <c r="U21" s="2">
        <v>1.617</v>
      </c>
      <c r="V21" s="2" t="s">
        <v>44</v>
      </c>
      <c r="W21" s="2"/>
      <c r="X21" s="2"/>
      <c r="Y21" s="2" t="s">
        <v>89</v>
      </c>
      <c r="Z21" s="2">
        <v>0.1</v>
      </c>
      <c r="AA21" s="2">
        <v>35</v>
      </c>
      <c r="AB21" s="2">
        <v>2.7</v>
      </c>
      <c r="AC21" s="2" t="s">
        <v>40</v>
      </c>
      <c r="AD21" s="2" t="s">
        <v>40</v>
      </c>
      <c r="AE21" s="14" t="s">
        <v>40</v>
      </c>
      <c r="AF21" s="1">
        <f t="shared" si="0"/>
        <v>0</v>
      </c>
    </row>
    <row r="22" spans="1:32" ht="15.75" thickBot="1" x14ac:dyDescent="0.3">
      <c r="A22" s="1">
        <v>11</v>
      </c>
      <c r="B22" s="19" t="s">
        <v>90</v>
      </c>
      <c r="C22" s="20">
        <v>2980044</v>
      </c>
      <c r="D22" s="20">
        <v>643139</v>
      </c>
      <c r="E22" s="20">
        <v>253.6</v>
      </c>
      <c r="F22" s="20">
        <v>35</v>
      </c>
      <c r="G22" s="21">
        <v>1.08</v>
      </c>
      <c r="H22" s="20"/>
      <c r="I22" s="20" t="s">
        <v>81</v>
      </c>
      <c r="J22" s="20"/>
      <c r="K22" s="20"/>
      <c r="L22" s="20"/>
      <c r="M22" s="23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4"/>
      <c r="AF22" s="1">
        <f t="shared" si="0"/>
        <v>218.6</v>
      </c>
    </row>
    <row r="23" spans="1:32" ht="15.75" thickBot="1" x14ac:dyDescent="0.3">
      <c r="A23" s="1">
        <v>12</v>
      </c>
      <c r="B23" s="19" t="s">
        <v>91</v>
      </c>
      <c r="C23" s="20">
        <v>2980115</v>
      </c>
      <c r="D23" s="20">
        <v>643079</v>
      </c>
      <c r="E23" s="20">
        <v>220.1</v>
      </c>
      <c r="F23" s="20">
        <v>40</v>
      </c>
      <c r="G23" s="21">
        <v>0.45</v>
      </c>
      <c r="H23" s="20"/>
      <c r="I23" s="20">
        <v>5.05</v>
      </c>
      <c r="J23" s="20"/>
      <c r="K23" s="20"/>
      <c r="L23" s="20"/>
      <c r="M23" s="23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4"/>
      <c r="AF23" s="1">
        <f t="shared" si="0"/>
        <v>180.1</v>
      </c>
    </row>
    <row r="24" spans="1:32" x14ac:dyDescent="0.25">
      <c r="A24" s="61">
        <v>13</v>
      </c>
      <c r="B24" s="63" t="s">
        <v>92</v>
      </c>
      <c r="C24" s="7">
        <v>2980228</v>
      </c>
      <c r="D24" s="7">
        <v>643016</v>
      </c>
      <c r="E24" s="7">
        <v>266.89999999999998</v>
      </c>
      <c r="F24" s="7">
        <v>80.22</v>
      </c>
      <c r="G24" s="56">
        <v>8</v>
      </c>
      <c r="H24" s="7"/>
      <c r="I24" s="7" t="s">
        <v>81</v>
      </c>
      <c r="J24" s="7"/>
      <c r="K24" s="7"/>
      <c r="L24" s="7">
        <v>0.5</v>
      </c>
      <c r="M24" s="10" t="s">
        <v>93</v>
      </c>
      <c r="N24" s="7" t="s">
        <v>40</v>
      </c>
      <c r="O24" s="7">
        <v>11.9</v>
      </c>
      <c r="P24" s="7">
        <v>48.8</v>
      </c>
      <c r="Q24" s="7">
        <v>29.6</v>
      </c>
      <c r="R24" s="7">
        <v>9.6999999999999993</v>
      </c>
      <c r="S24" s="7">
        <v>22</v>
      </c>
      <c r="T24" s="7">
        <v>1.849</v>
      </c>
      <c r="U24" s="7">
        <v>1.516</v>
      </c>
      <c r="V24" s="7" t="s">
        <v>94</v>
      </c>
      <c r="W24" s="7">
        <v>21.7</v>
      </c>
      <c r="X24" s="7">
        <v>8.8000000000000007</v>
      </c>
      <c r="Y24" s="7" t="s">
        <v>45</v>
      </c>
      <c r="Z24" s="7">
        <v>0.12</v>
      </c>
      <c r="AA24" s="7">
        <v>31</v>
      </c>
      <c r="AB24" s="7">
        <v>2.68</v>
      </c>
      <c r="AC24" s="7" t="s">
        <v>40</v>
      </c>
      <c r="AD24" s="7" t="s">
        <v>40</v>
      </c>
      <c r="AE24" s="11" t="s">
        <v>40</v>
      </c>
      <c r="AF24" s="1">
        <f t="shared" si="0"/>
        <v>186.67999999999998</v>
      </c>
    </row>
    <row r="25" spans="1:32" ht="15.75" thickBot="1" x14ac:dyDescent="0.3">
      <c r="A25" s="61"/>
      <c r="B25" s="64"/>
      <c r="C25" s="2"/>
      <c r="D25" s="2"/>
      <c r="E25" s="2"/>
      <c r="F25" s="2"/>
      <c r="G25" s="58"/>
      <c r="H25" s="2"/>
      <c r="I25" s="2"/>
      <c r="J25" s="2"/>
      <c r="K25" s="2"/>
      <c r="L25" s="2">
        <v>1.5</v>
      </c>
      <c r="M25" s="3" t="s">
        <v>95</v>
      </c>
      <c r="N25" s="2">
        <v>16</v>
      </c>
      <c r="O25" s="2">
        <v>29.1</v>
      </c>
      <c r="P25" s="2">
        <v>55.8</v>
      </c>
      <c r="Q25" s="2" t="s">
        <v>96</v>
      </c>
      <c r="R25" s="2">
        <v>16.100000000000001</v>
      </c>
      <c r="S25" s="2">
        <v>1.9550000000000001</v>
      </c>
      <c r="T25" s="2">
        <v>1.6839999999999999</v>
      </c>
      <c r="U25" s="2" t="s">
        <v>44</v>
      </c>
      <c r="V25" s="2" t="s">
        <v>45</v>
      </c>
      <c r="W25" s="2">
        <v>0</v>
      </c>
      <c r="X25" s="2">
        <v>34</v>
      </c>
      <c r="Y25" s="2">
        <v>2.67</v>
      </c>
      <c r="Z25" s="2" t="s">
        <v>40</v>
      </c>
      <c r="AA25" s="2" t="s">
        <v>40</v>
      </c>
      <c r="AB25" s="2" t="s">
        <v>40</v>
      </c>
      <c r="AC25" s="2"/>
      <c r="AD25" s="2"/>
      <c r="AE25" s="14"/>
      <c r="AF25" s="1">
        <f t="shared" si="0"/>
        <v>0</v>
      </c>
    </row>
    <row r="26" spans="1:32" x14ac:dyDescent="0.25">
      <c r="A26" s="61">
        <v>14</v>
      </c>
      <c r="B26" s="63" t="s">
        <v>97</v>
      </c>
      <c r="C26" s="27">
        <v>2982187</v>
      </c>
      <c r="D26" s="27">
        <v>641903</v>
      </c>
      <c r="E26" s="27">
        <v>346.2</v>
      </c>
      <c r="F26" s="27">
        <v>99.1</v>
      </c>
      <c r="G26" s="8">
        <v>85.25</v>
      </c>
      <c r="H26" s="8">
        <v>2.5499999999999998</v>
      </c>
      <c r="I26" s="7" t="s">
        <v>81</v>
      </c>
      <c r="J26" s="7" t="s">
        <v>98</v>
      </c>
      <c r="K26" s="9">
        <v>1.1E-5</v>
      </c>
      <c r="L26" s="7">
        <v>0.5</v>
      </c>
      <c r="M26" s="10" t="s">
        <v>99</v>
      </c>
      <c r="N26" s="7" t="s">
        <v>40</v>
      </c>
      <c r="O26" s="7">
        <v>13.4</v>
      </c>
      <c r="P26" s="7">
        <v>36.200000000000003</v>
      </c>
      <c r="Q26" s="7">
        <v>38.700000000000003</v>
      </c>
      <c r="R26" s="7">
        <v>11.7</v>
      </c>
      <c r="S26" s="7">
        <v>21.2</v>
      </c>
      <c r="T26" s="7">
        <v>1.9039999999999999</v>
      </c>
      <c r="U26" s="7">
        <v>1.571</v>
      </c>
      <c r="V26" s="7" t="s">
        <v>87</v>
      </c>
      <c r="W26" s="7">
        <v>21.8</v>
      </c>
      <c r="X26" s="7">
        <v>12</v>
      </c>
      <c r="Y26" s="7" t="s">
        <v>45</v>
      </c>
      <c r="Z26" s="7">
        <v>0.15</v>
      </c>
      <c r="AA26" s="7">
        <v>32</v>
      </c>
      <c r="AB26" s="7">
        <v>2.68</v>
      </c>
      <c r="AC26" s="7" t="s">
        <v>40</v>
      </c>
      <c r="AD26" s="7" t="s">
        <v>40</v>
      </c>
      <c r="AE26" s="11" t="s">
        <v>40</v>
      </c>
      <c r="AF26" s="1">
        <f t="shared" si="0"/>
        <v>247.1</v>
      </c>
    </row>
    <row r="27" spans="1:32" ht="15.75" thickBot="1" x14ac:dyDescent="0.3">
      <c r="A27" s="61"/>
      <c r="B27" s="64"/>
      <c r="C27" s="2">
        <v>2982187</v>
      </c>
      <c r="D27" s="2">
        <v>641903</v>
      </c>
      <c r="E27" s="2">
        <v>346.2</v>
      </c>
      <c r="F27" s="2">
        <v>99.1</v>
      </c>
      <c r="G27" s="12"/>
      <c r="H27" s="12">
        <v>2.5499999999999998</v>
      </c>
      <c r="I27" s="2" t="s">
        <v>81</v>
      </c>
      <c r="J27" s="2" t="s">
        <v>100</v>
      </c>
      <c r="K27" s="13">
        <v>2.1999999999999999E-5</v>
      </c>
      <c r="L27" s="2">
        <v>1</v>
      </c>
      <c r="M27" s="3" t="s">
        <v>101</v>
      </c>
      <c r="N27" s="2">
        <v>39</v>
      </c>
      <c r="O27" s="2">
        <v>25.9</v>
      </c>
      <c r="P27" s="2">
        <v>56.4</v>
      </c>
      <c r="Q27" s="2" t="s">
        <v>102</v>
      </c>
      <c r="R27" s="2"/>
      <c r="S27" s="2">
        <v>16.899999999999999</v>
      </c>
      <c r="T27" s="2">
        <v>2</v>
      </c>
      <c r="U27" s="2">
        <v>1.7110000000000001</v>
      </c>
      <c r="V27" s="2" t="s">
        <v>44</v>
      </c>
      <c r="W27" s="2"/>
      <c r="X27" s="2"/>
      <c r="Y27" s="2" t="s">
        <v>45</v>
      </c>
      <c r="Z27" s="2">
        <v>0</v>
      </c>
      <c r="AA27" s="2">
        <v>36</v>
      </c>
      <c r="AB27" s="2">
        <v>2.7</v>
      </c>
      <c r="AC27" s="2" t="s">
        <v>40</v>
      </c>
      <c r="AD27" s="2" t="s">
        <v>40</v>
      </c>
      <c r="AE27" s="14" t="s">
        <v>40</v>
      </c>
      <c r="AF27" s="1">
        <f t="shared" si="0"/>
        <v>247.1</v>
      </c>
    </row>
    <row r="28" spans="1:32" ht="15.75" thickBot="1" x14ac:dyDescent="0.3">
      <c r="A28" s="1">
        <v>15</v>
      </c>
      <c r="B28" s="19" t="s">
        <v>103</v>
      </c>
      <c r="C28" s="20">
        <v>2983452.1</v>
      </c>
      <c r="D28" s="20">
        <v>640970.4</v>
      </c>
      <c r="E28" s="20">
        <v>318.3</v>
      </c>
      <c r="F28" s="20">
        <v>55.3</v>
      </c>
      <c r="G28" s="21">
        <v>10.75</v>
      </c>
      <c r="H28" s="21">
        <v>1.7</v>
      </c>
      <c r="I28" s="20" t="s">
        <v>81</v>
      </c>
      <c r="J28" s="20"/>
      <c r="K28" s="20"/>
      <c r="L28" s="20">
        <v>1</v>
      </c>
      <c r="M28" s="23" t="s">
        <v>104</v>
      </c>
      <c r="N28" s="20" t="s">
        <v>40</v>
      </c>
      <c r="O28" s="20">
        <v>13.8</v>
      </c>
      <c r="P28" s="20">
        <v>36.200000000000003</v>
      </c>
      <c r="Q28" s="20">
        <v>38.299999999999997</v>
      </c>
      <c r="R28" s="20">
        <v>11.7</v>
      </c>
      <c r="S28" s="20">
        <v>24.4</v>
      </c>
      <c r="T28" s="20">
        <v>1.913</v>
      </c>
      <c r="U28" s="20">
        <v>1.538</v>
      </c>
      <c r="V28" s="20" t="s">
        <v>105</v>
      </c>
      <c r="W28" s="20">
        <v>23.1</v>
      </c>
      <c r="X28" s="20">
        <v>12.5</v>
      </c>
      <c r="Y28" s="20" t="s">
        <v>42</v>
      </c>
      <c r="Z28" s="20">
        <v>0.41</v>
      </c>
      <c r="AA28" s="20">
        <v>8.5</v>
      </c>
      <c r="AB28" s="20">
        <v>2.68</v>
      </c>
      <c r="AC28" s="20">
        <v>0.18740000000000001</v>
      </c>
      <c r="AD28" s="20">
        <v>0.1075</v>
      </c>
      <c r="AE28" s="24">
        <v>0.74280000000000002</v>
      </c>
      <c r="AF28" s="1">
        <f t="shared" si="0"/>
        <v>263</v>
      </c>
    </row>
    <row r="29" spans="1:32" ht="15.75" thickBot="1" x14ac:dyDescent="0.3">
      <c r="A29" s="1">
        <v>16</v>
      </c>
      <c r="B29" s="19" t="s">
        <v>106</v>
      </c>
      <c r="C29" s="20">
        <v>2983487</v>
      </c>
      <c r="D29" s="20">
        <v>640929</v>
      </c>
      <c r="E29" s="20">
        <v>298.3</v>
      </c>
      <c r="F29" s="20">
        <v>65.650000000000006</v>
      </c>
      <c r="G29" s="21">
        <v>18.5</v>
      </c>
      <c r="H29" s="21">
        <v>1.1499999999999999</v>
      </c>
      <c r="I29" s="21">
        <v>32.5</v>
      </c>
      <c r="J29" s="20" t="s">
        <v>107</v>
      </c>
      <c r="K29" s="22">
        <v>2.34E-4</v>
      </c>
      <c r="L29" s="20">
        <v>0.5</v>
      </c>
      <c r="M29" s="23" t="s">
        <v>108</v>
      </c>
      <c r="N29" s="20" t="s">
        <v>40</v>
      </c>
      <c r="O29" s="20">
        <v>26.9</v>
      </c>
      <c r="P29" s="20">
        <v>47.6</v>
      </c>
      <c r="Q29" s="20">
        <v>21.8</v>
      </c>
      <c r="R29" s="20">
        <v>3.7</v>
      </c>
      <c r="S29" s="20">
        <v>17.100000000000001</v>
      </c>
      <c r="T29" s="20">
        <v>1.9330000000000001</v>
      </c>
      <c r="U29" s="20">
        <v>1.651</v>
      </c>
      <c r="V29" s="20" t="s">
        <v>44</v>
      </c>
      <c r="W29" s="20"/>
      <c r="X29" s="20"/>
      <c r="Y29" s="20" t="s">
        <v>45</v>
      </c>
      <c r="Z29" s="20">
        <v>0</v>
      </c>
      <c r="AA29" s="20">
        <v>33.5</v>
      </c>
      <c r="AB29" s="20">
        <v>2.68</v>
      </c>
      <c r="AC29" s="20" t="s">
        <v>40</v>
      </c>
      <c r="AD29" s="20" t="s">
        <v>40</v>
      </c>
      <c r="AE29" s="24" t="s">
        <v>40</v>
      </c>
      <c r="AF29" s="1">
        <f t="shared" si="0"/>
        <v>232.65</v>
      </c>
    </row>
    <row r="30" spans="1:32" x14ac:dyDescent="0.25">
      <c r="A30" s="1">
        <v>17</v>
      </c>
      <c r="B30" s="28" t="s">
        <v>109</v>
      </c>
      <c r="C30" s="27">
        <v>2983481</v>
      </c>
      <c r="D30" s="27">
        <v>640841</v>
      </c>
      <c r="E30" s="27">
        <v>270.10000000000002</v>
      </c>
      <c r="F30" s="27">
        <v>36</v>
      </c>
      <c r="G30" s="8">
        <v>0.79</v>
      </c>
      <c r="H30" s="7"/>
      <c r="I30" s="7">
        <v>4.95</v>
      </c>
      <c r="J30" s="7" t="s">
        <v>110</v>
      </c>
      <c r="K30" s="9">
        <v>1.4899999999999999E-4</v>
      </c>
      <c r="L30" s="7">
        <v>0.5</v>
      </c>
      <c r="M30" s="10" t="s">
        <v>111</v>
      </c>
      <c r="N30" s="7" t="s">
        <v>40</v>
      </c>
      <c r="O30" s="7">
        <v>43.6</v>
      </c>
      <c r="P30" s="7">
        <v>51.9</v>
      </c>
      <c r="Q30" s="7" t="s">
        <v>76</v>
      </c>
      <c r="R30" s="7"/>
      <c r="S30" s="7" t="s">
        <v>40</v>
      </c>
      <c r="T30" s="7" t="s">
        <v>40</v>
      </c>
      <c r="U30" s="7" t="s">
        <v>40</v>
      </c>
      <c r="V30" s="7" t="s">
        <v>44</v>
      </c>
      <c r="W30" s="7"/>
      <c r="X30" s="7"/>
      <c r="Y30" s="7" t="s">
        <v>40</v>
      </c>
      <c r="Z30" s="7" t="s">
        <v>40</v>
      </c>
      <c r="AA30" s="7" t="s">
        <v>40</v>
      </c>
      <c r="AB30" s="7">
        <v>2.7</v>
      </c>
      <c r="AC30" s="7" t="s">
        <v>40</v>
      </c>
      <c r="AD30" s="7" t="s">
        <v>40</v>
      </c>
      <c r="AE30" s="11" t="s">
        <v>40</v>
      </c>
      <c r="AF30" s="1">
        <f t="shared" si="0"/>
        <v>234.10000000000002</v>
      </c>
    </row>
    <row r="31" spans="1:32" ht="15.75" thickBot="1" x14ac:dyDescent="0.3">
      <c r="A31" s="1">
        <v>18</v>
      </c>
      <c r="B31" s="29" t="s">
        <v>109</v>
      </c>
      <c r="C31" s="2">
        <v>2983481</v>
      </c>
      <c r="D31" s="2">
        <v>640841</v>
      </c>
      <c r="E31" s="2">
        <v>270.10000000000002</v>
      </c>
      <c r="F31" s="2">
        <v>36</v>
      </c>
      <c r="G31" s="12"/>
      <c r="H31" s="2"/>
      <c r="I31" s="2">
        <v>4.95</v>
      </c>
      <c r="J31" s="2" t="s">
        <v>74</v>
      </c>
      <c r="K31" s="13">
        <v>9.98E-5</v>
      </c>
      <c r="L31" s="2">
        <v>0.5</v>
      </c>
      <c r="M31" s="3" t="s">
        <v>111</v>
      </c>
      <c r="N31" s="2" t="s">
        <v>40</v>
      </c>
      <c r="O31" s="2">
        <v>43.6</v>
      </c>
      <c r="P31" s="2">
        <v>51.9</v>
      </c>
      <c r="Q31" s="2" t="s">
        <v>76</v>
      </c>
      <c r="R31" s="2"/>
      <c r="S31" s="2" t="s">
        <v>40</v>
      </c>
      <c r="T31" s="2" t="s">
        <v>40</v>
      </c>
      <c r="U31" s="2" t="s">
        <v>40</v>
      </c>
      <c r="V31" s="2" t="s">
        <v>44</v>
      </c>
      <c r="W31" s="2"/>
      <c r="X31" s="2"/>
      <c r="Y31" s="2" t="s">
        <v>40</v>
      </c>
      <c r="Z31" s="2" t="s">
        <v>40</v>
      </c>
      <c r="AA31" s="2" t="s">
        <v>40</v>
      </c>
      <c r="AB31" s="2">
        <v>2.7</v>
      </c>
      <c r="AC31" s="2" t="s">
        <v>40</v>
      </c>
      <c r="AD31" s="2" t="s">
        <v>40</v>
      </c>
      <c r="AE31" s="14" t="s">
        <v>40</v>
      </c>
      <c r="AF31" s="1">
        <f t="shared" si="0"/>
        <v>234.10000000000002</v>
      </c>
    </row>
    <row r="32" spans="1:32" ht="15.75" thickBot="1" x14ac:dyDescent="0.3">
      <c r="A32" s="1">
        <v>19</v>
      </c>
      <c r="B32" s="19" t="s">
        <v>112</v>
      </c>
      <c r="C32" s="20">
        <v>2983537</v>
      </c>
      <c r="D32" s="20">
        <v>640765</v>
      </c>
      <c r="E32" s="20">
        <v>341.8</v>
      </c>
      <c r="F32" s="20">
        <v>74.3</v>
      </c>
      <c r="G32" s="21">
        <v>74.3</v>
      </c>
      <c r="H32" s="21">
        <v>1.5</v>
      </c>
      <c r="I32" s="20" t="s">
        <v>81</v>
      </c>
      <c r="J32" s="20"/>
      <c r="K32" s="20"/>
      <c r="L32" s="20">
        <v>0.5</v>
      </c>
      <c r="M32" s="23" t="s">
        <v>85</v>
      </c>
      <c r="N32" s="20" t="s">
        <v>40</v>
      </c>
      <c r="O32" s="20">
        <v>4.8</v>
      </c>
      <c r="P32" s="20">
        <v>27.1</v>
      </c>
      <c r="Q32" s="20">
        <v>54</v>
      </c>
      <c r="R32" s="20">
        <v>14.1</v>
      </c>
      <c r="S32" s="20" t="s">
        <v>40</v>
      </c>
      <c r="T32" s="20" t="s">
        <v>40</v>
      </c>
      <c r="U32" s="20" t="s">
        <v>40</v>
      </c>
      <c r="V32" s="20" t="s">
        <v>113</v>
      </c>
      <c r="W32" s="20">
        <v>23.6</v>
      </c>
      <c r="X32" s="20">
        <v>15.7</v>
      </c>
      <c r="Y32" s="20" t="s">
        <v>40</v>
      </c>
      <c r="Z32" s="20" t="s">
        <v>40</v>
      </c>
      <c r="AA32" s="20" t="s">
        <v>40</v>
      </c>
      <c r="AB32" s="20">
        <v>2.68</v>
      </c>
      <c r="AC32" s="20" t="s">
        <v>40</v>
      </c>
      <c r="AD32" s="20" t="s">
        <v>40</v>
      </c>
      <c r="AE32" s="24" t="s">
        <v>40</v>
      </c>
      <c r="AF32" s="1">
        <f t="shared" si="0"/>
        <v>267.5</v>
      </c>
    </row>
    <row r="33" spans="1:32" x14ac:dyDescent="0.25">
      <c r="A33" s="61">
        <v>20</v>
      </c>
      <c r="B33" s="63" t="s">
        <v>114</v>
      </c>
      <c r="C33" s="7">
        <v>2985341</v>
      </c>
      <c r="D33" s="7">
        <v>640245</v>
      </c>
      <c r="E33" s="7">
        <v>350.9</v>
      </c>
      <c r="F33" s="7">
        <v>45.11</v>
      </c>
      <c r="G33" s="8">
        <v>1.88</v>
      </c>
      <c r="H33" s="7"/>
      <c r="I33" s="7" t="s">
        <v>81</v>
      </c>
      <c r="J33" s="7" t="s">
        <v>115</v>
      </c>
      <c r="K33" s="9">
        <v>2.7E-4</v>
      </c>
      <c r="L33" s="7">
        <v>0.5</v>
      </c>
      <c r="M33" s="10" t="s">
        <v>116</v>
      </c>
      <c r="N33" s="7" t="s">
        <v>40</v>
      </c>
      <c r="O33" s="7">
        <v>25.8</v>
      </c>
      <c r="P33" s="7">
        <v>39.4</v>
      </c>
      <c r="Q33" s="7">
        <v>28.4</v>
      </c>
      <c r="R33" s="7">
        <v>6.4</v>
      </c>
      <c r="S33" s="7">
        <v>14.7</v>
      </c>
      <c r="T33" s="7">
        <v>2.0310000000000001</v>
      </c>
      <c r="U33" s="7">
        <v>1.7709999999999999</v>
      </c>
      <c r="V33" s="7" t="s">
        <v>41</v>
      </c>
      <c r="W33" s="7">
        <v>17</v>
      </c>
      <c r="X33" s="7">
        <v>7.5</v>
      </c>
      <c r="Y33" s="7" t="s">
        <v>45</v>
      </c>
      <c r="Z33" s="7">
        <v>0.12</v>
      </c>
      <c r="AA33" s="7">
        <v>36</v>
      </c>
      <c r="AB33" s="7">
        <v>2.67</v>
      </c>
      <c r="AC33" s="7" t="s">
        <v>40</v>
      </c>
      <c r="AD33" s="7" t="s">
        <v>40</v>
      </c>
      <c r="AE33" s="11" t="s">
        <v>40</v>
      </c>
      <c r="AF33" s="1">
        <f t="shared" si="0"/>
        <v>305.78999999999996</v>
      </c>
    </row>
    <row r="34" spans="1:32" ht="15.75" thickBot="1" x14ac:dyDescent="0.3">
      <c r="A34" s="61"/>
      <c r="B34" s="64"/>
      <c r="C34" s="2"/>
      <c r="D34" s="2"/>
      <c r="E34" s="2"/>
      <c r="F34" s="2"/>
      <c r="G34" s="12"/>
      <c r="H34" s="2"/>
      <c r="I34" s="2"/>
      <c r="J34" s="2"/>
      <c r="K34" s="13"/>
      <c r="L34" s="2">
        <v>1</v>
      </c>
      <c r="M34" s="3" t="s">
        <v>117</v>
      </c>
      <c r="N34" s="2">
        <v>56</v>
      </c>
      <c r="O34" s="2">
        <v>41.1</v>
      </c>
      <c r="P34" s="2">
        <v>46.1</v>
      </c>
      <c r="Q34" s="2" t="s">
        <v>118</v>
      </c>
      <c r="R34" s="2"/>
      <c r="S34" s="2" t="s">
        <v>40</v>
      </c>
      <c r="T34" s="2" t="s">
        <v>40</v>
      </c>
      <c r="U34" s="2" t="s">
        <v>40</v>
      </c>
      <c r="V34" s="2" t="s">
        <v>44</v>
      </c>
      <c r="W34" s="2"/>
      <c r="X34" s="2"/>
      <c r="Y34" s="2" t="s">
        <v>40</v>
      </c>
      <c r="Z34" s="2" t="s">
        <v>40</v>
      </c>
      <c r="AA34" s="2" t="s">
        <v>40</v>
      </c>
      <c r="AB34" s="2">
        <v>2.7</v>
      </c>
      <c r="AC34" s="2" t="s">
        <v>40</v>
      </c>
      <c r="AD34" s="2" t="s">
        <v>40</v>
      </c>
      <c r="AE34" s="14" t="s">
        <v>40</v>
      </c>
      <c r="AF34" s="1">
        <f t="shared" si="0"/>
        <v>0</v>
      </c>
    </row>
    <row r="35" spans="1:32" x14ac:dyDescent="0.25">
      <c r="A35" s="61">
        <v>21</v>
      </c>
      <c r="B35" s="63" t="s">
        <v>119</v>
      </c>
      <c r="C35" s="7">
        <v>2985658</v>
      </c>
      <c r="D35" s="7">
        <v>640452</v>
      </c>
      <c r="E35" s="7">
        <v>278.7</v>
      </c>
      <c r="F35" s="7">
        <v>50.78</v>
      </c>
      <c r="G35" s="8">
        <v>2.5499999999999998</v>
      </c>
      <c r="H35" s="7"/>
      <c r="I35" s="7" t="s">
        <v>81</v>
      </c>
      <c r="J35" s="7"/>
      <c r="K35" s="7"/>
      <c r="L35" s="7">
        <v>0.5</v>
      </c>
      <c r="M35" s="10" t="s">
        <v>120</v>
      </c>
      <c r="N35" s="7" t="s">
        <v>40</v>
      </c>
      <c r="O35" s="7">
        <v>28</v>
      </c>
      <c r="P35" s="7">
        <v>45.7</v>
      </c>
      <c r="Q35" s="7">
        <v>19.899999999999999</v>
      </c>
      <c r="R35" s="7">
        <v>6.4</v>
      </c>
      <c r="S35" s="7">
        <v>14</v>
      </c>
      <c r="T35" s="7">
        <v>2.0099999999999998</v>
      </c>
      <c r="U35" s="7">
        <v>1.7629999999999999</v>
      </c>
      <c r="V35" s="7" t="s">
        <v>121</v>
      </c>
      <c r="W35" s="7">
        <v>18.399999999999999</v>
      </c>
      <c r="X35" s="7">
        <v>6.7</v>
      </c>
      <c r="Y35" s="7" t="s">
        <v>45</v>
      </c>
      <c r="Z35" s="7">
        <v>0.06</v>
      </c>
      <c r="AA35" s="7">
        <v>35.5</v>
      </c>
      <c r="AB35" s="7">
        <v>2.68</v>
      </c>
      <c r="AC35" s="7" t="s">
        <v>40</v>
      </c>
      <c r="AD35" s="7" t="s">
        <v>40</v>
      </c>
      <c r="AE35" s="11" t="s">
        <v>40</v>
      </c>
      <c r="AF35" s="1">
        <f t="shared" si="0"/>
        <v>227.92</v>
      </c>
    </row>
    <row r="36" spans="1:32" ht="15.75" thickBot="1" x14ac:dyDescent="0.3">
      <c r="A36" s="61"/>
      <c r="B36" s="64"/>
      <c r="C36" s="2"/>
      <c r="D36" s="2"/>
      <c r="E36" s="2"/>
      <c r="F36" s="2"/>
      <c r="G36" s="12"/>
      <c r="H36" s="2"/>
      <c r="I36" s="2"/>
      <c r="J36" s="2"/>
      <c r="K36" s="2"/>
      <c r="L36" s="2">
        <v>1</v>
      </c>
      <c r="M36" s="3" t="s">
        <v>60</v>
      </c>
      <c r="N36" s="2">
        <v>77</v>
      </c>
      <c r="O36" s="2">
        <v>38.5</v>
      </c>
      <c r="P36" s="2">
        <v>42.1</v>
      </c>
      <c r="Q36" s="2" t="s">
        <v>122</v>
      </c>
      <c r="R36" s="2"/>
      <c r="S36" s="2" t="s">
        <v>40</v>
      </c>
      <c r="T36" s="2" t="s">
        <v>40</v>
      </c>
      <c r="U36" s="2" t="s">
        <v>40</v>
      </c>
      <c r="V36" s="2" t="s">
        <v>44</v>
      </c>
      <c r="W36" s="2"/>
      <c r="X36" s="2"/>
      <c r="Y36" s="2" t="s">
        <v>40</v>
      </c>
      <c r="Z36" s="2" t="s">
        <v>40</v>
      </c>
      <c r="AA36" s="2" t="s">
        <v>40</v>
      </c>
      <c r="AB36" s="2">
        <v>2.7</v>
      </c>
      <c r="AC36" s="2" t="s">
        <v>40</v>
      </c>
      <c r="AD36" s="2" t="s">
        <v>40</v>
      </c>
      <c r="AE36" s="14" t="s">
        <v>40</v>
      </c>
      <c r="AF36" s="1">
        <f t="shared" si="0"/>
        <v>0</v>
      </c>
    </row>
    <row r="37" spans="1:32" x14ac:dyDescent="0.25">
      <c r="A37" s="61">
        <v>22</v>
      </c>
      <c r="B37" s="63" t="s">
        <v>123</v>
      </c>
      <c r="C37" s="7">
        <v>2986164</v>
      </c>
      <c r="D37" s="7">
        <v>640818</v>
      </c>
      <c r="E37" s="7">
        <v>296.3</v>
      </c>
      <c r="F37" s="7">
        <v>24.2</v>
      </c>
      <c r="G37" s="8">
        <v>24.2</v>
      </c>
      <c r="H37" s="7"/>
      <c r="I37" s="7">
        <v>16.600000000000001</v>
      </c>
      <c r="J37" s="7" t="s">
        <v>124</v>
      </c>
      <c r="K37" s="9">
        <v>1.5400000000000002E-5</v>
      </c>
      <c r="L37" s="7">
        <v>0.5</v>
      </c>
      <c r="M37" s="10" t="s">
        <v>125</v>
      </c>
      <c r="N37" s="7" t="s">
        <v>40</v>
      </c>
      <c r="O37" s="7">
        <v>19.8</v>
      </c>
      <c r="P37" s="7">
        <v>43.1</v>
      </c>
      <c r="Q37" s="7">
        <v>29.8</v>
      </c>
      <c r="R37" s="7">
        <v>7.3</v>
      </c>
      <c r="S37" s="7">
        <v>21.7</v>
      </c>
      <c r="T37" s="7">
        <v>1.927</v>
      </c>
      <c r="U37" s="7">
        <v>1.583</v>
      </c>
      <c r="V37" s="7" t="s">
        <v>126</v>
      </c>
      <c r="W37" s="7">
        <v>20.7</v>
      </c>
      <c r="X37" s="7">
        <v>8.6</v>
      </c>
      <c r="Y37" s="7" t="s">
        <v>45</v>
      </c>
      <c r="Z37" s="7">
        <v>0.12</v>
      </c>
      <c r="AA37" s="7">
        <v>33.5</v>
      </c>
      <c r="AB37" s="7">
        <v>2.66</v>
      </c>
      <c r="AC37" s="7" t="s">
        <v>40</v>
      </c>
      <c r="AD37" s="7" t="s">
        <v>40</v>
      </c>
      <c r="AE37" s="11" t="s">
        <v>40</v>
      </c>
      <c r="AF37" s="1">
        <f t="shared" si="0"/>
        <v>272.10000000000002</v>
      </c>
    </row>
    <row r="38" spans="1:32" ht="15.75" thickBot="1" x14ac:dyDescent="0.3">
      <c r="A38" s="61"/>
      <c r="B38" s="64"/>
      <c r="C38" s="2"/>
      <c r="D38" s="2"/>
      <c r="E38" s="2"/>
      <c r="F38" s="2"/>
      <c r="G38" s="12"/>
      <c r="H38" s="2"/>
      <c r="I38" s="2"/>
      <c r="J38" s="2"/>
      <c r="K38" s="13"/>
      <c r="L38" s="2">
        <v>1</v>
      </c>
      <c r="M38" s="3" t="s">
        <v>127</v>
      </c>
      <c r="N38" s="2">
        <v>14</v>
      </c>
      <c r="O38" s="2">
        <v>35.6</v>
      </c>
      <c r="P38" s="2">
        <v>37.1</v>
      </c>
      <c r="Q38" s="2" t="s">
        <v>128</v>
      </c>
      <c r="R38" s="2"/>
      <c r="S38" s="2" t="s">
        <v>40</v>
      </c>
      <c r="T38" s="2" t="s">
        <v>40</v>
      </c>
      <c r="U38" s="2" t="s">
        <v>40</v>
      </c>
      <c r="V38" s="2" t="s">
        <v>44</v>
      </c>
      <c r="W38" s="2"/>
      <c r="X38" s="2"/>
      <c r="Y38" s="2" t="s">
        <v>40</v>
      </c>
      <c r="Z38" s="2" t="s">
        <v>40</v>
      </c>
      <c r="AA38" s="2" t="s">
        <v>40</v>
      </c>
      <c r="AB38" s="2">
        <v>2.67</v>
      </c>
      <c r="AC38" s="2" t="s">
        <v>40</v>
      </c>
      <c r="AD38" s="2" t="s">
        <v>40</v>
      </c>
      <c r="AE38" s="14" t="s">
        <v>40</v>
      </c>
      <c r="AF38" s="1">
        <f t="shared" si="0"/>
        <v>0</v>
      </c>
    </row>
    <row r="39" spans="1:32" x14ac:dyDescent="0.25">
      <c r="A39" s="61">
        <v>23</v>
      </c>
      <c r="B39" s="63" t="s">
        <v>129</v>
      </c>
      <c r="C39" s="7">
        <v>2986366</v>
      </c>
      <c r="D39" s="7">
        <v>640976</v>
      </c>
      <c r="E39" s="7">
        <v>294.7</v>
      </c>
      <c r="F39" s="7">
        <v>25.35</v>
      </c>
      <c r="G39" s="8">
        <v>25.35</v>
      </c>
      <c r="H39" s="8">
        <v>4.08</v>
      </c>
      <c r="I39" s="8">
        <v>6.65</v>
      </c>
      <c r="J39" s="7" t="s">
        <v>130</v>
      </c>
      <c r="K39" s="9">
        <v>1.6199999999999999E-6</v>
      </c>
      <c r="L39" s="7">
        <v>0.5</v>
      </c>
      <c r="M39" s="10" t="s">
        <v>93</v>
      </c>
      <c r="N39" s="7" t="s">
        <v>40</v>
      </c>
      <c r="O39" s="7">
        <v>18.600000000000001</v>
      </c>
      <c r="P39" s="7">
        <v>59.2</v>
      </c>
      <c r="Q39" s="7">
        <v>18.2</v>
      </c>
      <c r="R39" s="7">
        <v>4</v>
      </c>
      <c r="S39" s="7">
        <v>16.100000000000001</v>
      </c>
      <c r="T39" s="7">
        <v>1.944</v>
      </c>
      <c r="U39" s="7">
        <v>1.6739999999999999</v>
      </c>
      <c r="V39" s="7" t="s">
        <v>44</v>
      </c>
      <c r="W39" s="7"/>
      <c r="X39" s="7"/>
      <c r="Y39" s="7" t="s">
        <v>45</v>
      </c>
      <c r="Z39" s="7">
        <v>0.1</v>
      </c>
      <c r="AA39" s="7">
        <v>34</v>
      </c>
      <c r="AB39" s="7">
        <v>2.67</v>
      </c>
      <c r="AC39" s="7" t="s">
        <v>40</v>
      </c>
      <c r="AD39" s="7" t="s">
        <v>40</v>
      </c>
      <c r="AE39" s="11" t="s">
        <v>40</v>
      </c>
      <c r="AF39" s="1">
        <f t="shared" si="0"/>
        <v>269.34999999999997</v>
      </c>
    </row>
    <row r="40" spans="1:32" x14ac:dyDescent="0.25">
      <c r="A40" s="61"/>
      <c r="B40" s="65"/>
      <c r="C40" s="15"/>
      <c r="D40" s="15"/>
      <c r="E40" s="15"/>
      <c r="F40" s="15"/>
      <c r="G40" s="16"/>
      <c r="H40" s="16"/>
      <c r="I40" s="16"/>
      <c r="J40" s="15"/>
      <c r="K40" s="26"/>
      <c r="L40" s="15">
        <v>1</v>
      </c>
      <c r="M40" s="17" t="s">
        <v>131</v>
      </c>
      <c r="N40" s="15">
        <v>16</v>
      </c>
      <c r="O40" s="15">
        <v>32.9</v>
      </c>
      <c r="P40" s="15">
        <v>56.2</v>
      </c>
      <c r="Q40" s="15" t="s">
        <v>132</v>
      </c>
      <c r="R40" s="15"/>
      <c r="S40" s="15" t="s">
        <v>40</v>
      </c>
      <c r="T40" s="15" t="s">
        <v>40</v>
      </c>
      <c r="U40" s="15" t="s">
        <v>40</v>
      </c>
      <c r="V40" s="15" t="s">
        <v>44</v>
      </c>
      <c r="W40" s="15"/>
      <c r="X40" s="15"/>
      <c r="Y40" s="15" t="s">
        <v>40</v>
      </c>
      <c r="Z40" s="15" t="s">
        <v>40</v>
      </c>
      <c r="AA40" s="15" t="s">
        <v>40</v>
      </c>
      <c r="AB40" s="15">
        <v>2.66</v>
      </c>
      <c r="AC40" s="15" t="s">
        <v>40</v>
      </c>
      <c r="AD40" s="15" t="s">
        <v>40</v>
      </c>
      <c r="AE40" s="18" t="s">
        <v>40</v>
      </c>
      <c r="AF40" s="1">
        <f t="shared" si="0"/>
        <v>0</v>
      </c>
    </row>
    <row r="41" spans="1:32" ht="15.75" thickBot="1" x14ac:dyDescent="0.3">
      <c r="A41" s="61"/>
      <c r="B41" s="64"/>
      <c r="C41" s="2"/>
      <c r="D41" s="2"/>
      <c r="E41" s="2"/>
      <c r="F41" s="2"/>
      <c r="G41" s="12"/>
      <c r="H41" s="12"/>
      <c r="I41" s="12"/>
      <c r="J41" s="2"/>
      <c r="K41" s="13"/>
      <c r="L41" s="2">
        <v>2.5</v>
      </c>
      <c r="M41" s="3" t="s">
        <v>133</v>
      </c>
      <c r="N41" s="2">
        <v>17</v>
      </c>
      <c r="O41" s="2">
        <v>29.5</v>
      </c>
      <c r="P41" s="2">
        <v>40.700000000000003</v>
      </c>
      <c r="Q41" s="2">
        <v>24.4</v>
      </c>
      <c r="R41" s="2">
        <v>5.4</v>
      </c>
      <c r="S41" s="2">
        <v>18.2</v>
      </c>
      <c r="T41" s="2">
        <v>1.9570000000000001</v>
      </c>
      <c r="U41" s="2">
        <v>1.6559999999999999</v>
      </c>
      <c r="V41" s="2" t="s">
        <v>134</v>
      </c>
      <c r="W41" s="2">
        <v>20.8</v>
      </c>
      <c r="X41" s="2">
        <v>5.7</v>
      </c>
      <c r="Y41" s="2" t="s">
        <v>45</v>
      </c>
      <c r="Z41" s="2">
        <v>0.12</v>
      </c>
      <c r="AA41" s="2">
        <v>35</v>
      </c>
      <c r="AB41" s="2">
        <v>2.67</v>
      </c>
      <c r="AC41" s="2" t="s">
        <v>40</v>
      </c>
      <c r="AD41" s="2" t="s">
        <v>40</v>
      </c>
      <c r="AE41" s="14" t="s">
        <v>40</v>
      </c>
      <c r="AF41" s="1">
        <f t="shared" si="0"/>
        <v>0</v>
      </c>
    </row>
    <row r="42" spans="1:32" ht="15.75" thickBot="1" x14ac:dyDescent="0.3">
      <c r="A42" s="1">
        <v>24</v>
      </c>
      <c r="B42" s="19" t="s">
        <v>135</v>
      </c>
      <c r="C42" s="20">
        <v>2986400.6</v>
      </c>
      <c r="D42" s="20">
        <v>641009.19999999995</v>
      </c>
      <c r="E42" s="20">
        <v>309.39999999999998</v>
      </c>
      <c r="F42" s="20">
        <v>37.299999999999997</v>
      </c>
      <c r="G42" s="21">
        <v>2.5499999999999998</v>
      </c>
      <c r="H42" s="20"/>
      <c r="I42" s="20">
        <v>19.25</v>
      </c>
      <c r="J42" s="20" t="s">
        <v>136</v>
      </c>
      <c r="K42" s="22">
        <v>1.9E-6</v>
      </c>
      <c r="L42" s="20">
        <v>1</v>
      </c>
      <c r="M42" s="23" t="s">
        <v>137</v>
      </c>
      <c r="N42" s="20">
        <v>28</v>
      </c>
      <c r="O42" s="20">
        <v>27.2</v>
      </c>
      <c r="P42" s="20">
        <v>35.4</v>
      </c>
      <c r="Q42" s="20">
        <v>29.8</v>
      </c>
      <c r="R42" s="20">
        <v>7.6</v>
      </c>
      <c r="S42" s="20">
        <v>18</v>
      </c>
      <c r="T42" s="20">
        <v>2.0139999999999998</v>
      </c>
      <c r="U42" s="20">
        <v>1.7070000000000001</v>
      </c>
      <c r="V42" s="20" t="s">
        <v>138</v>
      </c>
      <c r="W42" s="20">
        <v>22.8</v>
      </c>
      <c r="X42" s="20">
        <v>7.8</v>
      </c>
      <c r="Y42" s="20" t="s">
        <v>45</v>
      </c>
      <c r="Z42" s="20">
        <v>0.15</v>
      </c>
      <c r="AA42" s="20">
        <v>35</v>
      </c>
      <c r="AB42" s="20">
        <v>2.7</v>
      </c>
      <c r="AC42" s="20" t="s">
        <v>40</v>
      </c>
      <c r="AD42" s="20" t="s">
        <v>40</v>
      </c>
      <c r="AE42" s="24" t="s">
        <v>40</v>
      </c>
      <c r="AF42" s="1">
        <f t="shared" si="0"/>
        <v>272.09999999999997</v>
      </c>
    </row>
    <row r="43" spans="1:32" ht="15.75" thickBot="1" x14ac:dyDescent="0.3">
      <c r="A43" s="1">
        <v>25</v>
      </c>
      <c r="B43" s="19" t="s">
        <v>139</v>
      </c>
      <c r="C43" s="20">
        <v>2988516</v>
      </c>
      <c r="D43" s="20">
        <v>641468</v>
      </c>
      <c r="E43" s="20">
        <v>743.4</v>
      </c>
      <c r="F43" s="20">
        <v>61.4</v>
      </c>
      <c r="G43" s="21">
        <v>1.25</v>
      </c>
      <c r="H43" s="20"/>
      <c r="I43" s="20" t="s">
        <v>81</v>
      </c>
      <c r="J43" s="20"/>
      <c r="K43" s="20"/>
      <c r="L43" s="20"/>
      <c r="M43" s="23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4"/>
      <c r="AF43" s="1">
        <f t="shared" si="0"/>
        <v>682</v>
      </c>
    </row>
    <row r="44" spans="1:32" ht="15.75" thickBot="1" x14ac:dyDescent="0.3">
      <c r="A44" s="1">
        <v>26</v>
      </c>
      <c r="B44" s="19" t="s">
        <v>140</v>
      </c>
      <c r="C44" s="20">
        <v>2988517.8</v>
      </c>
      <c r="D44" s="20">
        <v>641468</v>
      </c>
      <c r="E44" s="20">
        <v>743.4</v>
      </c>
      <c r="F44" s="20">
        <v>486.8</v>
      </c>
      <c r="G44" s="21">
        <v>4.5</v>
      </c>
      <c r="H44" s="20"/>
      <c r="I44" s="20" t="s">
        <v>81</v>
      </c>
      <c r="J44" s="20"/>
      <c r="K44" s="20"/>
      <c r="L44" s="20"/>
      <c r="M44" s="23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4"/>
      <c r="AF44" s="1">
        <f t="shared" si="0"/>
        <v>256.59999999999997</v>
      </c>
    </row>
    <row r="45" spans="1:32" x14ac:dyDescent="0.25">
      <c r="A45" s="61">
        <v>27</v>
      </c>
      <c r="B45" s="63" t="s">
        <v>141</v>
      </c>
      <c r="C45" s="7">
        <v>2990178</v>
      </c>
      <c r="D45" s="7">
        <v>641484</v>
      </c>
      <c r="E45" s="7">
        <v>267.60000000000002</v>
      </c>
      <c r="F45" s="7">
        <v>25.2</v>
      </c>
      <c r="G45" s="8">
        <v>4.2300000000000004</v>
      </c>
      <c r="H45" s="7"/>
      <c r="I45" s="7" t="s">
        <v>81</v>
      </c>
      <c r="J45" s="7" t="s">
        <v>142</v>
      </c>
      <c r="K45" s="9">
        <v>1.0200000000000001E-5</v>
      </c>
      <c r="L45" s="7">
        <v>0.5</v>
      </c>
      <c r="M45" s="10" t="s">
        <v>43</v>
      </c>
      <c r="N45" s="7" t="s">
        <v>40</v>
      </c>
      <c r="O45" s="7">
        <v>25.9</v>
      </c>
      <c r="P45" s="7">
        <v>42.2</v>
      </c>
      <c r="Q45" s="7">
        <v>28.4</v>
      </c>
      <c r="R45" s="7">
        <v>3.5</v>
      </c>
      <c r="S45" s="7">
        <v>15.7</v>
      </c>
      <c r="T45" s="7">
        <v>1.9650000000000001</v>
      </c>
      <c r="U45" s="7">
        <v>1.698</v>
      </c>
      <c r="V45" s="7" t="s">
        <v>44</v>
      </c>
      <c r="W45" s="7"/>
      <c r="X45" s="7"/>
      <c r="Y45" s="7" t="s">
        <v>45</v>
      </c>
      <c r="Z45" s="7">
        <v>0.1</v>
      </c>
      <c r="AA45" s="7">
        <v>34.5</v>
      </c>
      <c r="AB45" s="7">
        <v>2.68</v>
      </c>
      <c r="AC45" s="7" t="s">
        <v>40</v>
      </c>
      <c r="AD45" s="7" t="s">
        <v>40</v>
      </c>
      <c r="AE45" s="11" t="s">
        <v>40</v>
      </c>
      <c r="AF45" s="1">
        <f t="shared" si="0"/>
        <v>242.40000000000003</v>
      </c>
    </row>
    <row r="46" spans="1:32" ht="15.75" thickBot="1" x14ac:dyDescent="0.3">
      <c r="A46" s="61"/>
      <c r="B46" s="64"/>
      <c r="C46" s="2"/>
      <c r="D46" s="2"/>
      <c r="E46" s="2"/>
      <c r="F46" s="2"/>
      <c r="G46" s="12"/>
      <c r="H46" s="2"/>
      <c r="I46" s="2"/>
      <c r="J46" s="2"/>
      <c r="K46" s="13"/>
      <c r="L46" s="2">
        <v>2.5</v>
      </c>
      <c r="M46" s="3" t="s">
        <v>101</v>
      </c>
      <c r="N46" s="2">
        <v>49</v>
      </c>
      <c r="O46" s="2">
        <v>47</v>
      </c>
      <c r="P46" s="2">
        <v>34.1</v>
      </c>
      <c r="Q46" s="2" t="s">
        <v>143</v>
      </c>
      <c r="R46" s="2"/>
      <c r="S46" s="2" t="s">
        <v>40</v>
      </c>
      <c r="T46" s="2" t="s">
        <v>40</v>
      </c>
      <c r="U46" s="2" t="s">
        <v>40</v>
      </c>
      <c r="V46" s="2" t="s">
        <v>44</v>
      </c>
      <c r="W46" s="2"/>
      <c r="X46" s="2"/>
      <c r="Y46" s="2" t="s">
        <v>40</v>
      </c>
      <c r="Z46" s="2" t="s">
        <v>40</v>
      </c>
      <c r="AA46" s="2" t="s">
        <v>40</v>
      </c>
      <c r="AB46" s="2">
        <v>2.71</v>
      </c>
      <c r="AC46" s="2" t="s">
        <v>40</v>
      </c>
      <c r="AD46" s="2" t="s">
        <v>40</v>
      </c>
      <c r="AE46" s="14" t="s">
        <v>40</v>
      </c>
      <c r="AF46" s="1">
        <f t="shared" si="0"/>
        <v>0</v>
      </c>
    </row>
    <row r="47" spans="1:32" ht="15.75" thickBot="1" x14ac:dyDescent="0.3">
      <c r="A47" s="1">
        <v>28</v>
      </c>
      <c r="B47" s="19" t="s">
        <v>144</v>
      </c>
      <c r="C47" s="20">
        <v>2990228</v>
      </c>
      <c r="D47" s="20">
        <v>641420</v>
      </c>
      <c r="E47" s="20">
        <v>222.6</v>
      </c>
      <c r="F47" s="20">
        <v>40.29</v>
      </c>
      <c r="G47" s="21">
        <v>1</v>
      </c>
      <c r="H47" s="20"/>
      <c r="I47" s="20">
        <v>0.5</v>
      </c>
      <c r="J47" s="20" t="s">
        <v>107</v>
      </c>
      <c r="K47" s="22">
        <v>1.17E-4</v>
      </c>
      <c r="L47" s="30"/>
      <c r="M47" s="31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2"/>
      <c r="AF47" s="1">
        <f t="shared" si="0"/>
        <v>182.31</v>
      </c>
    </row>
    <row r="48" spans="1:32" ht="15.75" thickBot="1" x14ac:dyDescent="0.3">
      <c r="A48" s="1">
        <v>29</v>
      </c>
      <c r="B48" s="19" t="s">
        <v>145</v>
      </c>
      <c r="C48" s="20">
        <v>2983476</v>
      </c>
      <c r="D48" s="20">
        <v>640920</v>
      </c>
      <c r="E48" s="20">
        <v>293.2</v>
      </c>
      <c r="F48" s="20">
        <v>6</v>
      </c>
      <c r="G48" s="21">
        <v>6</v>
      </c>
      <c r="H48" s="20"/>
      <c r="I48" s="20" t="s">
        <v>81</v>
      </c>
      <c r="J48" s="20"/>
      <c r="K48" s="20"/>
      <c r="L48" s="30"/>
      <c r="M48" s="31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2"/>
      <c r="AF48" s="1">
        <f t="shared" si="0"/>
        <v>287.2</v>
      </c>
    </row>
    <row r="49" spans="1:32" ht="15.75" thickBot="1" x14ac:dyDescent="0.3">
      <c r="A49" s="1">
        <v>30</v>
      </c>
      <c r="B49" s="33" t="s">
        <v>146</v>
      </c>
      <c r="C49" s="30">
        <v>2979089.5</v>
      </c>
      <c r="D49" s="30">
        <v>643888.9</v>
      </c>
      <c r="E49" s="30">
        <v>231.5</v>
      </c>
      <c r="F49" s="30">
        <v>28.05</v>
      </c>
      <c r="G49" s="20">
        <v>6</v>
      </c>
      <c r="H49" s="20"/>
      <c r="I49" s="20" t="s">
        <v>147</v>
      </c>
      <c r="J49" s="20"/>
      <c r="K49" s="20"/>
      <c r="L49" s="30">
        <v>1</v>
      </c>
      <c r="M49" s="30" t="s">
        <v>93</v>
      </c>
      <c r="N49" s="30" t="s">
        <v>40</v>
      </c>
      <c r="O49" s="30">
        <v>12.2</v>
      </c>
      <c r="P49" s="30">
        <v>39.9</v>
      </c>
      <c r="Q49" s="30">
        <v>39.799999999999997</v>
      </c>
      <c r="R49" s="30">
        <v>8.1</v>
      </c>
      <c r="S49" s="30">
        <v>20.399999999999999</v>
      </c>
      <c r="T49" s="30">
        <v>1.907</v>
      </c>
      <c r="U49" s="30">
        <v>1.5840000000000001</v>
      </c>
      <c r="V49" s="30" t="s">
        <v>44</v>
      </c>
      <c r="W49" s="30"/>
      <c r="X49" s="30"/>
      <c r="Y49" s="30" t="s">
        <v>89</v>
      </c>
      <c r="Z49" s="30">
        <v>0.16</v>
      </c>
      <c r="AA49" s="30">
        <v>33.5</v>
      </c>
      <c r="AB49" s="30">
        <v>2.67</v>
      </c>
      <c r="AC49" s="30" t="s">
        <v>40</v>
      </c>
      <c r="AD49" s="30" t="s">
        <v>40</v>
      </c>
      <c r="AE49" s="32" t="s">
        <v>40</v>
      </c>
      <c r="AF49" s="1">
        <f t="shared" si="0"/>
        <v>203.45</v>
      </c>
    </row>
    <row r="50" spans="1:32" x14ac:dyDescent="0.25">
      <c r="A50" s="61">
        <v>31</v>
      </c>
      <c r="B50" s="59" t="s">
        <v>148</v>
      </c>
      <c r="C50" s="34">
        <v>2980005.3</v>
      </c>
      <c r="D50" s="34">
        <v>643160.80000000005</v>
      </c>
      <c r="E50" s="34">
        <v>283</v>
      </c>
      <c r="F50" s="34">
        <v>65.27</v>
      </c>
      <c r="G50" s="7">
        <v>2.5499999999999998</v>
      </c>
      <c r="H50" s="7"/>
      <c r="I50" s="7">
        <v>27.55</v>
      </c>
      <c r="J50" s="7"/>
      <c r="K50" s="7"/>
      <c r="L50" s="34">
        <v>0.5</v>
      </c>
      <c r="M50" s="34" t="s">
        <v>149</v>
      </c>
      <c r="N50" s="34" t="s">
        <v>40</v>
      </c>
      <c r="O50" s="34">
        <v>31.8</v>
      </c>
      <c r="P50" s="34">
        <v>54</v>
      </c>
      <c r="Q50" s="34" t="s">
        <v>150</v>
      </c>
      <c r="R50" s="34"/>
      <c r="S50" s="34" t="s">
        <v>40</v>
      </c>
      <c r="T50" s="34" t="s">
        <v>40</v>
      </c>
      <c r="U50" s="34" t="s">
        <v>40</v>
      </c>
      <c r="V50" s="34" t="s">
        <v>44</v>
      </c>
      <c r="W50" s="34"/>
      <c r="X50" s="34"/>
      <c r="Y50" s="34" t="s">
        <v>40</v>
      </c>
      <c r="Z50" s="34" t="s">
        <v>40</v>
      </c>
      <c r="AA50" s="34" t="s">
        <v>40</v>
      </c>
      <c r="AB50" s="34">
        <v>2.7</v>
      </c>
      <c r="AC50" s="34" t="s">
        <v>40</v>
      </c>
      <c r="AD50" s="34" t="s">
        <v>40</v>
      </c>
      <c r="AE50" s="35" t="s">
        <v>40</v>
      </c>
      <c r="AF50" s="1">
        <f t="shared" si="0"/>
        <v>217.73000000000002</v>
      </c>
    </row>
    <row r="51" spans="1:32" ht="15.75" thickBot="1" x14ac:dyDescent="0.3">
      <c r="A51" s="61"/>
      <c r="B51" s="60"/>
      <c r="C51" s="36"/>
      <c r="D51" s="36"/>
      <c r="E51" s="36"/>
      <c r="F51" s="36"/>
      <c r="G51" s="2"/>
      <c r="H51" s="2"/>
      <c r="I51" s="2"/>
      <c r="J51" s="2"/>
      <c r="K51" s="2"/>
      <c r="L51" s="36">
        <v>1</v>
      </c>
      <c r="M51" s="36" t="s">
        <v>149</v>
      </c>
      <c r="N51" s="36">
        <v>45</v>
      </c>
      <c r="O51" s="36">
        <v>40.799999999999997</v>
      </c>
      <c r="P51" s="36">
        <v>50.3</v>
      </c>
      <c r="Q51" s="36" t="s">
        <v>151</v>
      </c>
      <c r="R51" s="36"/>
      <c r="S51" s="36" t="s">
        <v>40</v>
      </c>
      <c r="T51" s="36" t="s">
        <v>40</v>
      </c>
      <c r="U51" s="36" t="s">
        <v>40</v>
      </c>
      <c r="V51" s="36" t="s">
        <v>44</v>
      </c>
      <c r="W51" s="36"/>
      <c r="X51" s="36"/>
      <c r="Y51" s="36" t="s">
        <v>40</v>
      </c>
      <c r="Z51" s="36" t="s">
        <v>40</v>
      </c>
      <c r="AA51" s="36" t="s">
        <v>40</v>
      </c>
      <c r="AB51" s="36">
        <v>2.72</v>
      </c>
      <c r="AC51" s="36" t="s">
        <v>40</v>
      </c>
      <c r="AD51" s="36" t="s">
        <v>40</v>
      </c>
      <c r="AE51" s="37" t="s">
        <v>40</v>
      </c>
      <c r="AF51" s="1">
        <f t="shared" si="0"/>
        <v>0</v>
      </c>
    </row>
    <row r="52" spans="1:32" x14ac:dyDescent="0.25">
      <c r="A52" s="61">
        <v>32</v>
      </c>
      <c r="B52" s="59" t="s">
        <v>152</v>
      </c>
      <c r="C52" s="34">
        <v>2980238.6</v>
      </c>
      <c r="D52" s="34">
        <v>643024.6</v>
      </c>
      <c r="E52" s="34">
        <v>263.7</v>
      </c>
      <c r="F52" s="34">
        <v>44.8</v>
      </c>
      <c r="G52" s="7">
        <v>7.5</v>
      </c>
      <c r="H52" s="7"/>
      <c r="I52" s="7">
        <v>19.75</v>
      </c>
      <c r="J52" s="7" t="s">
        <v>153</v>
      </c>
      <c r="K52" s="9">
        <v>3.0299999999999998E-6</v>
      </c>
      <c r="L52" s="34">
        <v>0.5</v>
      </c>
      <c r="M52" s="34" t="s">
        <v>154</v>
      </c>
      <c r="N52" s="34" t="s">
        <v>40</v>
      </c>
      <c r="O52" s="34">
        <v>27.7</v>
      </c>
      <c r="P52" s="34">
        <v>41.6</v>
      </c>
      <c r="Q52" s="34">
        <v>28.4</v>
      </c>
      <c r="R52" s="34">
        <v>2.2999999999999998</v>
      </c>
      <c r="S52" s="34">
        <v>16.100000000000001</v>
      </c>
      <c r="T52" s="34">
        <v>1.9219999999999999</v>
      </c>
      <c r="U52" s="34">
        <v>1.655</v>
      </c>
      <c r="V52" s="34" t="s">
        <v>44</v>
      </c>
      <c r="W52" s="34"/>
      <c r="X52" s="34"/>
      <c r="Y52" s="34" t="s">
        <v>45</v>
      </c>
      <c r="Z52" s="34">
        <v>0</v>
      </c>
      <c r="AA52" s="34">
        <v>34</v>
      </c>
      <c r="AB52" s="34">
        <v>2.7</v>
      </c>
      <c r="AC52" s="34" t="s">
        <v>40</v>
      </c>
      <c r="AD52" s="34" t="s">
        <v>40</v>
      </c>
      <c r="AE52" s="35" t="s">
        <v>40</v>
      </c>
      <c r="AF52" s="1">
        <f t="shared" si="0"/>
        <v>218.89999999999998</v>
      </c>
    </row>
    <row r="53" spans="1:32" ht="15.75" thickBot="1" x14ac:dyDescent="0.3">
      <c r="A53" s="61"/>
      <c r="B53" s="60"/>
      <c r="C53" s="36"/>
      <c r="D53" s="36"/>
      <c r="E53" s="36"/>
      <c r="F53" s="36"/>
      <c r="G53" s="2"/>
      <c r="H53" s="2"/>
      <c r="I53" s="2"/>
      <c r="J53" s="2"/>
      <c r="K53" s="13"/>
      <c r="L53" s="36">
        <v>1.5</v>
      </c>
      <c r="M53" s="36" t="s">
        <v>101</v>
      </c>
      <c r="N53" s="36">
        <v>50</v>
      </c>
      <c r="O53" s="36">
        <v>37.299999999999997</v>
      </c>
      <c r="P53" s="36">
        <v>54</v>
      </c>
      <c r="Q53" s="36" t="s">
        <v>155</v>
      </c>
      <c r="R53" s="36"/>
      <c r="S53" s="36" t="s">
        <v>40</v>
      </c>
      <c r="T53" s="36" t="s">
        <v>40</v>
      </c>
      <c r="U53" s="36" t="s">
        <v>40</v>
      </c>
      <c r="V53" s="36" t="s">
        <v>44</v>
      </c>
      <c r="W53" s="36"/>
      <c r="X53" s="36"/>
      <c r="Y53" s="36" t="s">
        <v>40</v>
      </c>
      <c r="Z53" s="36" t="s">
        <v>40</v>
      </c>
      <c r="AA53" s="36" t="s">
        <v>40</v>
      </c>
      <c r="AB53" s="36">
        <v>2.71</v>
      </c>
      <c r="AC53" s="36" t="s">
        <v>40</v>
      </c>
      <c r="AD53" s="36" t="s">
        <v>40</v>
      </c>
      <c r="AE53" s="37" t="s">
        <v>40</v>
      </c>
      <c r="AF53" s="1">
        <f t="shared" si="0"/>
        <v>0</v>
      </c>
    </row>
    <row r="54" spans="1:32" x14ac:dyDescent="0.25">
      <c r="A54" s="61">
        <v>33</v>
      </c>
      <c r="B54" s="59" t="s">
        <v>156</v>
      </c>
      <c r="C54" s="34">
        <v>2983471.4</v>
      </c>
      <c r="D54" s="34">
        <v>640933</v>
      </c>
      <c r="E54" s="34">
        <v>297.3</v>
      </c>
      <c r="F54" s="34">
        <v>34.299999999999997</v>
      </c>
      <c r="G54" s="7">
        <v>24</v>
      </c>
      <c r="H54" s="7">
        <v>1.6</v>
      </c>
      <c r="I54" s="7">
        <v>13.8</v>
      </c>
      <c r="J54" s="7"/>
      <c r="K54" s="7"/>
      <c r="L54" s="34">
        <v>0.5</v>
      </c>
      <c r="M54" s="34" t="s">
        <v>93</v>
      </c>
      <c r="N54" s="34" t="s">
        <v>40</v>
      </c>
      <c r="O54" s="34">
        <v>29.5</v>
      </c>
      <c r="P54" s="34">
        <v>32.4</v>
      </c>
      <c r="Q54" s="34">
        <v>31.9</v>
      </c>
      <c r="R54" s="34">
        <v>6.2</v>
      </c>
      <c r="S54" s="34">
        <v>16.5</v>
      </c>
      <c r="T54" s="34">
        <v>1.8759999999999999</v>
      </c>
      <c r="U54" s="34">
        <v>1.61</v>
      </c>
      <c r="V54" s="34" t="s">
        <v>157</v>
      </c>
      <c r="W54" s="34">
        <v>22</v>
      </c>
      <c r="X54" s="34">
        <v>4.5999999999999996</v>
      </c>
      <c r="Y54" s="34" t="s">
        <v>45</v>
      </c>
      <c r="Z54" s="34">
        <v>0.15</v>
      </c>
      <c r="AA54" s="34">
        <v>31</v>
      </c>
      <c r="AB54" s="34">
        <v>2.68</v>
      </c>
      <c r="AC54" s="34" t="s">
        <v>40</v>
      </c>
      <c r="AD54" s="34" t="s">
        <v>40</v>
      </c>
      <c r="AE54" s="35" t="s">
        <v>40</v>
      </c>
      <c r="AF54" s="1">
        <f t="shared" si="0"/>
        <v>263</v>
      </c>
    </row>
    <row r="55" spans="1:32" ht="15.75" thickBot="1" x14ac:dyDescent="0.3">
      <c r="A55" s="61"/>
      <c r="B55" s="60"/>
      <c r="C55" s="36"/>
      <c r="D55" s="36"/>
      <c r="E55" s="36"/>
      <c r="F55" s="36"/>
      <c r="G55" s="2"/>
      <c r="H55" s="2"/>
      <c r="I55" s="2"/>
      <c r="J55" s="2"/>
      <c r="K55" s="2"/>
      <c r="L55" s="36">
        <v>1</v>
      </c>
      <c r="M55" s="36" t="s">
        <v>158</v>
      </c>
      <c r="N55" s="36" t="s">
        <v>40</v>
      </c>
      <c r="O55" s="36">
        <v>23.7</v>
      </c>
      <c r="P55" s="36">
        <v>47.2</v>
      </c>
      <c r="Q55" s="36" t="s">
        <v>159</v>
      </c>
      <c r="R55" s="36"/>
      <c r="S55" s="36">
        <v>18.100000000000001</v>
      </c>
      <c r="T55" s="36">
        <v>1.9730000000000001</v>
      </c>
      <c r="U55" s="36">
        <v>1.671</v>
      </c>
      <c r="V55" s="36" t="s">
        <v>44</v>
      </c>
      <c r="W55" s="36"/>
      <c r="X55" s="36"/>
      <c r="Y55" s="36" t="s">
        <v>89</v>
      </c>
      <c r="Z55" s="36">
        <v>0.02</v>
      </c>
      <c r="AA55" s="36">
        <v>35.5</v>
      </c>
      <c r="AB55" s="36">
        <v>2.7</v>
      </c>
      <c r="AC55" s="36" t="s">
        <v>40</v>
      </c>
      <c r="AD55" s="36" t="s">
        <v>40</v>
      </c>
      <c r="AE55" s="37" t="s">
        <v>40</v>
      </c>
      <c r="AF55" s="1">
        <f t="shared" si="0"/>
        <v>0</v>
      </c>
    </row>
    <row r="56" spans="1:32" ht="15.75" thickBot="1" x14ac:dyDescent="0.3">
      <c r="A56" s="1">
        <v>34</v>
      </c>
      <c r="B56" s="33" t="s">
        <v>160</v>
      </c>
      <c r="C56" s="30">
        <v>2983770.7</v>
      </c>
      <c r="D56" s="30">
        <v>640558.19999999995</v>
      </c>
      <c r="E56" s="30">
        <v>331.5</v>
      </c>
      <c r="F56" s="30">
        <v>65.599999999999994</v>
      </c>
      <c r="G56" s="20">
        <v>2.5499999999999998</v>
      </c>
      <c r="H56" s="20"/>
      <c r="I56" s="20">
        <v>13.6</v>
      </c>
      <c r="J56" s="20" t="s">
        <v>161</v>
      </c>
      <c r="K56" s="22">
        <v>1.2699999999999999E-6</v>
      </c>
      <c r="L56" s="30">
        <v>1</v>
      </c>
      <c r="M56" s="30" t="s">
        <v>158</v>
      </c>
      <c r="N56" s="30">
        <v>34</v>
      </c>
      <c r="O56" s="30">
        <v>26.2</v>
      </c>
      <c r="P56" s="30">
        <v>62.7</v>
      </c>
      <c r="Q56" s="30" t="s">
        <v>162</v>
      </c>
      <c r="R56" s="30"/>
      <c r="S56" s="30">
        <v>16.2</v>
      </c>
      <c r="T56" s="30">
        <v>1.917</v>
      </c>
      <c r="U56" s="30">
        <v>1.65</v>
      </c>
      <c r="V56" s="30" t="s">
        <v>44</v>
      </c>
      <c r="W56" s="30"/>
      <c r="X56" s="30"/>
      <c r="Y56" s="30" t="s">
        <v>45</v>
      </c>
      <c r="Z56" s="30">
        <v>0</v>
      </c>
      <c r="AA56" s="30">
        <v>33</v>
      </c>
      <c r="AB56" s="30">
        <v>2.68</v>
      </c>
      <c r="AC56" s="30" t="s">
        <v>40</v>
      </c>
      <c r="AD56" s="30" t="s">
        <v>40</v>
      </c>
      <c r="AE56" s="32" t="s">
        <v>40</v>
      </c>
      <c r="AF56" s="1">
        <f t="shared" si="0"/>
        <v>265.89999999999998</v>
      </c>
    </row>
    <row r="57" spans="1:32" x14ac:dyDescent="0.25">
      <c r="A57" s="61">
        <v>35</v>
      </c>
      <c r="B57" s="59" t="s">
        <v>163</v>
      </c>
      <c r="C57" s="34">
        <v>2984134</v>
      </c>
      <c r="D57" s="34">
        <v>640406.69999999995</v>
      </c>
      <c r="E57" s="34">
        <v>320.60000000000002</v>
      </c>
      <c r="F57" s="34">
        <v>52</v>
      </c>
      <c r="G57" s="7">
        <v>8.25</v>
      </c>
      <c r="H57" s="7">
        <v>4.55</v>
      </c>
      <c r="I57" s="7">
        <v>19.75</v>
      </c>
      <c r="J57" s="7"/>
      <c r="K57" s="7"/>
      <c r="L57" s="34">
        <v>1</v>
      </c>
      <c r="M57" s="34" t="s">
        <v>93</v>
      </c>
      <c r="N57" s="34" t="s">
        <v>40</v>
      </c>
      <c r="O57" s="34">
        <v>24.7</v>
      </c>
      <c r="P57" s="34">
        <v>46.9</v>
      </c>
      <c r="Q57" s="34">
        <v>21.2</v>
      </c>
      <c r="R57" s="34">
        <v>7.2</v>
      </c>
      <c r="S57" s="34">
        <v>21.5</v>
      </c>
      <c r="T57" s="34">
        <v>1.8779999999999999</v>
      </c>
      <c r="U57" s="34">
        <v>1.546</v>
      </c>
      <c r="V57" s="34" t="s">
        <v>126</v>
      </c>
      <c r="W57" s="34">
        <v>23.1</v>
      </c>
      <c r="X57" s="34">
        <v>6.2</v>
      </c>
      <c r="Y57" s="34" t="s">
        <v>89</v>
      </c>
      <c r="Z57" s="34">
        <v>0.12</v>
      </c>
      <c r="AA57" s="34">
        <v>31.5</v>
      </c>
      <c r="AB57" s="34">
        <v>2.66</v>
      </c>
      <c r="AC57" s="34" t="s">
        <v>40</v>
      </c>
      <c r="AD57" s="34" t="s">
        <v>40</v>
      </c>
      <c r="AE57" s="35" t="s">
        <v>40</v>
      </c>
      <c r="AF57" s="1">
        <f t="shared" si="0"/>
        <v>268.60000000000002</v>
      </c>
    </row>
    <row r="58" spans="1:32" ht="15.75" thickBot="1" x14ac:dyDescent="0.3">
      <c r="A58" s="61"/>
      <c r="B58" s="60"/>
      <c r="C58" s="36"/>
      <c r="D58" s="36"/>
      <c r="E58" s="36"/>
      <c r="F58" s="36"/>
      <c r="G58" s="2"/>
      <c r="H58" s="2"/>
      <c r="I58" s="2"/>
      <c r="J58" s="2"/>
      <c r="K58" s="2"/>
      <c r="L58" s="36">
        <v>3</v>
      </c>
      <c r="M58" s="36" t="s">
        <v>164</v>
      </c>
      <c r="N58" s="36">
        <v>29</v>
      </c>
      <c r="O58" s="36">
        <v>27.8</v>
      </c>
      <c r="P58" s="36">
        <v>44</v>
      </c>
      <c r="Q58" s="36">
        <v>24.3</v>
      </c>
      <c r="R58" s="36">
        <v>3.9</v>
      </c>
      <c r="S58" s="36">
        <v>18.5</v>
      </c>
      <c r="T58" s="36">
        <v>1.929</v>
      </c>
      <c r="U58" s="36">
        <v>1.6279999999999999</v>
      </c>
      <c r="V58" s="36" t="s">
        <v>44</v>
      </c>
      <c r="W58" s="36"/>
      <c r="X58" s="36"/>
      <c r="Y58" s="36" t="s">
        <v>45</v>
      </c>
      <c r="Z58" s="36">
        <v>0</v>
      </c>
      <c r="AA58" s="36">
        <v>34.5</v>
      </c>
      <c r="AB58" s="36">
        <v>2.68</v>
      </c>
      <c r="AC58" s="36" t="s">
        <v>40</v>
      </c>
      <c r="AD58" s="36" t="s">
        <v>40</v>
      </c>
      <c r="AE58" s="37" t="s">
        <v>40</v>
      </c>
      <c r="AF58" s="1">
        <f t="shared" si="0"/>
        <v>0</v>
      </c>
    </row>
    <row r="59" spans="1:32" ht="15.75" thickBot="1" x14ac:dyDescent="0.3">
      <c r="A59" s="1">
        <v>36</v>
      </c>
      <c r="B59" s="33" t="s">
        <v>165</v>
      </c>
      <c r="C59" s="30">
        <v>2984192.7</v>
      </c>
      <c r="D59" s="30">
        <v>640390.69999999995</v>
      </c>
      <c r="E59" s="30">
        <v>363.8</v>
      </c>
      <c r="F59" s="30">
        <v>94.55</v>
      </c>
      <c r="G59" s="20">
        <v>17.25</v>
      </c>
      <c r="H59" s="20">
        <v>1.5</v>
      </c>
      <c r="I59" s="20">
        <v>14.4</v>
      </c>
      <c r="J59" s="20"/>
      <c r="K59" s="20"/>
      <c r="L59" s="30">
        <v>0.5</v>
      </c>
      <c r="M59" s="30" t="s">
        <v>166</v>
      </c>
      <c r="N59" s="30" t="s">
        <v>40</v>
      </c>
      <c r="O59" s="30">
        <v>37.200000000000003</v>
      </c>
      <c r="P59" s="30">
        <v>28.4</v>
      </c>
      <c r="Q59" s="30">
        <v>26</v>
      </c>
      <c r="R59" s="30">
        <v>8.4</v>
      </c>
      <c r="S59" s="30" t="s">
        <v>40</v>
      </c>
      <c r="T59" s="30" t="s">
        <v>40</v>
      </c>
      <c r="U59" s="30" t="s">
        <v>40</v>
      </c>
      <c r="V59" s="30" t="s">
        <v>167</v>
      </c>
      <c r="W59" s="30">
        <v>22</v>
      </c>
      <c r="X59" s="30">
        <v>7.7</v>
      </c>
      <c r="Y59" s="30" t="s">
        <v>40</v>
      </c>
      <c r="Z59" s="30" t="s">
        <v>40</v>
      </c>
      <c r="AA59" s="30" t="s">
        <v>40</v>
      </c>
      <c r="AB59" s="30">
        <v>2.7</v>
      </c>
      <c r="AC59" s="30" t="s">
        <v>40</v>
      </c>
      <c r="AD59" s="30" t="s">
        <v>40</v>
      </c>
      <c r="AE59" s="32" t="s">
        <v>40</v>
      </c>
      <c r="AF59" s="1">
        <f t="shared" si="0"/>
        <v>269.25</v>
      </c>
    </row>
    <row r="60" spans="1:32" x14ac:dyDescent="0.25">
      <c r="A60" s="61">
        <v>37</v>
      </c>
      <c r="B60" s="59" t="s">
        <v>168</v>
      </c>
      <c r="C60" s="34">
        <v>2987048</v>
      </c>
      <c r="D60" s="34">
        <v>641348.1</v>
      </c>
      <c r="E60" s="34">
        <v>334.8</v>
      </c>
      <c r="F60" s="34">
        <v>65.8</v>
      </c>
      <c r="G60" s="7">
        <v>22.5</v>
      </c>
      <c r="H60" s="7">
        <v>3.75</v>
      </c>
      <c r="I60" s="7">
        <v>19.5</v>
      </c>
      <c r="J60" s="7" t="s">
        <v>169</v>
      </c>
      <c r="K60" s="9">
        <v>6.9299999999999997E-6</v>
      </c>
      <c r="L60" s="34">
        <v>0.5</v>
      </c>
      <c r="M60" s="34" t="s">
        <v>170</v>
      </c>
      <c r="N60" s="34" t="s">
        <v>40</v>
      </c>
      <c r="O60" s="34">
        <v>38.1</v>
      </c>
      <c r="P60" s="34">
        <v>45.5</v>
      </c>
      <c r="Q60" s="34" t="s">
        <v>171</v>
      </c>
      <c r="R60" s="34"/>
      <c r="S60" s="34" t="s">
        <v>40</v>
      </c>
      <c r="T60" s="34" t="s">
        <v>40</v>
      </c>
      <c r="U60" s="34" t="s">
        <v>40</v>
      </c>
      <c r="V60" s="34" t="s">
        <v>44</v>
      </c>
      <c r="W60" s="34"/>
      <c r="X60" s="34"/>
      <c r="Y60" s="34" t="s">
        <v>40</v>
      </c>
      <c r="Z60" s="34" t="s">
        <v>40</v>
      </c>
      <c r="AA60" s="34" t="s">
        <v>40</v>
      </c>
      <c r="AB60" s="34">
        <v>2.7</v>
      </c>
      <c r="AC60" s="34" t="s">
        <v>40</v>
      </c>
      <c r="AD60" s="34" t="s">
        <v>40</v>
      </c>
      <c r="AE60" s="35" t="s">
        <v>40</v>
      </c>
      <c r="AF60" s="1">
        <f t="shared" si="0"/>
        <v>269</v>
      </c>
    </row>
    <row r="61" spans="1:32" ht="15.75" thickBot="1" x14ac:dyDescent="0.3">
      <c r="A61" s="61"/>
      <c r="B61" s="60"/>
      <c r="C61" s="36"/>
      <c r="D61" s="36"/>
      <c r="E61" s="36"/>
      <c r="F61" s="36"/>
      <c r="G61" s="2"/>
      <c r="H61" s="2"/>
      <c r="I61" s="2"/>
      <c r="J61" s="2"/>
      <c r="K61" s="13"/>
      <c r="L61" s="36">
        <v>2.5</v>
      </c>
      <c r="M61" s="36" t="s">
        <v>170</v>
      </c>
      <c r="N61" s="36">
        <v>49</v>
      </c>
      <c r="O61" s="36">
        <v>43.2</v>
      </c>
      <c r="P61" s="36">
        <v>43.2</v>
      </c>
      <c r="Q61" s="36" t="s">
        <v>172</v>
      </c>
      <c r="R61" s="36"/>
      <c r="S61" s="36" t="s">
        <v>40</v>
      </c>
      <c r="T61" s="36" t="s">
        <v>40</v>
      </c>
      <c r="U61" s="36" t="s">
        <v>40</v>
      </c>
      <c r="V61" s="36" t="s">
        <v>44</v>
      </c>
      <c r="W61" s="36"/>
      <c r="X61" s="36"/>
      <c r="Y61" s="36" t="s">
        <v>40</v>
      </c>
      <c r="Z61" s="36" t="s">
        <v>40</v>
      </c>
      <c r="AA61" s="36" t="s">
        <v>40</v>
      </c>
      <c r="AB61" s="36">
        <v>2.72</v>
      </c>
      <c r="AC61" s="36" t="s">
        <v>40</v>
      </c>
      <c r="AD61" s="36" t="s">
        <v>40</v>
      </c>
      <c r="AE61" s="37" t="s">
        <v>40</v>
      </c>
      <c r="AF61" s="1">
        <f t="shared" si="0"/>
        <v>0</v>
      </c>
    </row>
    <row r="62" spans="1:32" x14ac:dyDescent="0.25">
      <c r="A62" s="61">
        <v>38</v>
      </c>
      <c r="B62" s="59" t="s">
        <v>173</v>
      </c>
      <c r="C62" s="34">
        <v>2984012.5</v>
      </c>
      <c r="D62" s="34">
        <v>640418.69999999995</v>
      </c>
      <c r="E62" s="34">
        <v>327.60000000000002</v>
      </c>
      <c r="F62" s="34">
        <v>59.55</v>
      </c>
      <c r="G62" s="7">
        <v>14.25</v>
      </c>
      <c r="H62" s="7"/>
      <c r="I62" s="7">
        <v>12</v>
      </c>
      <c r="J62" s="7"/>
      <c r="K62" s="7"/>
      <c r="L62" s="34">
        <v>1</v>
      </c>
      <c r="M62" s="34" t="s">
        <v>174</v>
      </c>
      <c r="N62" s="34" t="s">
        <v>40</v>
      </c>
      <c r="O62" s="34">
        <v>23.6</v>
      </c>
      <c r="P62" s="34">
        <v>51</v>
      </c>
      <c r="Q62" s="34">
        <v>20.5</v>
      </c>
      <c r="R62" s="34">
        <v>4.9000000000000004</v>
      </c>
      <c r="S62" s="34">
        <v>17.899999999999999</v>
      </c>
      <c r="T62" s="34">
        <v>1.919</v>
      </c>
      <c r="U62" s="34">
        <v>1.6279999999999999</v>
      </c>
      <c r="V62" s="34" t="s">
        <v>44</v>
      </c>
      <c r="W62" s="34"/>
      <c r="X62" s="34"/>
      <c r="Y62" s="34" t="s">
        <v>89</v>
      </c>
      <c r="Z62" s="34">
        <v>7.0000000000000007E-2</v>
      </c>
      <c r="AA62" s="34">
        <v>33.5</v>
      </c>
      <c r="AB62" s="34">
        <v>2.67</v>
      </c>
      <c r="AC62" s="34" t="s">
        <v>40</v>
      </c>
      <c r="AD62" s="34" t="s">
        <v>40</v>
      </c>
      <c r="AE62" s="35" t="s">
        <v>40</v>
      </c>
      <c r="AF62" s="1">
        <f t="shared" si="0"/>
        <v>268.05</v>
      </c>
    </row>
    <row r="63" spans="1:32" x14ac:dyDescent="0.25">
      <c r="A63" s="61"/>
      <c r="B63" s="62"/>
      <c r="C63" s="38"/>
      <c r="D63" s="38"/>
      <c r="E63" s="38"/>
      <c r="F63" s="38"/>
      <c r="G63" s="39"/>
      <c r="H63" s="39"/>
      <c r="I63" s="39"/>
      <c r="J63" s="39"/>
      <c r="K63" s="39"/>
      <c r="L63" s="38">
        <v>3</v>
      </c>
      <c r="M63" s="38" t="s">
        <v>75</v>
      </c>
      <c r="N63" s="38">
        <v>15</v>
      </c>
      <c r="O63" s="38">
        <v>9</v>
      </c>
      <c r="P63" s="38">
        <v>86.4</v>
      </c>
      <c r="Q63" s="38" t="s">
        <v>175</v>
      </c>
      <c r="R63" s="38"/>
      <c r="S63" s="38">
        <v>18.3</v>
      </c>
      <c r="T63" s="38">
        <v>1.903</v>
      </c>
      <c r="U63" s="38">
        <v>1.609</v>
      </c>
      <c r="V63" s="38" t="s">
        <v>44</v>
      </c>
      <c r="W63" s="38"/>
      <c r="X63" s="38"/>
      <c r="Y63" s="38" t="s">
        <v>45</v>
      </c>
      <c r="Z63" s="38">
        <v>0</v>
      </c>
      <c r="AA63" s="38">
        <v>32</v>
      </c>
      <c r="AB63" s="38">
        <v>2.7</v>
      </c>
      <c r="AC63" s="38" t="s">
        <v>40</v>
      </c>
      <c r="AD63" s="38" t="s">
        <v>40</v>
      </c>
      <c r="AE63" s="40" t="s">
        <v>40</v>
      </c>
      <c r="AF63" s="1">
        <f t="shared" si="0"/>
        <v>0</v>
      </c>
    </row>
    <row r="64" spans="1:32" ht="15.75" thickBot="1" x14ac:dyDescent="0.3">
      <c r="A64" s="61"/>
      <c r="B64" s="60"/>
      <c r="C64" s="36"/>
      <c r="D64" s="36"/>
      <c r="E64" s="36"/>
      <c r="F64" s="36"/>
      <c r="G64" s="41"/>
      <c r="H64" s="41"/>
      <c r="I64" s="41"/>
      <c r="J64" s="41"/>
      <c r="K64" s="41"/>
      <c r="L64" s="36">
        <v>6</v>
      </c>
      <c r="M64" s="36" t="s">
        <v>176</v>
      </c>
      <c r="N64" s="36">
        <v>34</v>
      </c>
      <c r="O64" s="36">
        <v>35.299999999999997</v>
      </c>
      <c r="P64" s="36">
        <v>56.6</v>
      </c>
      <c r="Q64" s="36" t="s">
        <v>177</v>
      </c>
      <c r="R64" s="36"/>
      <c r="S64" s="36" t="s">
        <v>40</v>
      </c>
      <c r="T64" s="36" t="s">
        <v>40</v>
      </c>
      <c r="U64" s="36" t="s">
        <v>40</v>
      </c>
      <c r="V64" s="36" t="s">
        <v>44</v>
      </c>
      <c r="W64" s="36"/>
      <c r="X64" s="36"/>
      <c r="Y64" s="36" t="s">
        <v>40</v>
      </c>
      <c r="Z64" s="36" t="s">
        <v>40</v>
      </c>
      <c r="AA64" s="36" t="s">
        <v>40</v>
      </c>
      <c r="AB64" s="36">
        <v>2.7</v>
      </c>
      <c r="AC64" s="36" t="s">
        <v>40</v>
      </c>
      <c r="AD64" s="36" t="s">
        <v>40</v>
      </c>
      <c r="AE64" s="37" t="s">
        <v>40</v>
      </c>
      <c r="AF64" s="1">
        <f t="shared" si="0"/>
        <v>0</v>
      </c>
    </row>
    <row r="65" spans="1:32" ht="15.75" thickBot="1" x14ac:dyDescent="0.3">
      <c r="A65" s="1">
        <v>39</v>
      </c>
      <c r="B65" s="33" t="s">
        <v>178</v>
      </c>
      <c r="C65" s="30">
        <v>2985402.4</v>
      </c>
      <c r="D65" s="30">
        <v>640252.4</v>
      </c>
      <c r="E65" s="30">
        <v>311.10000000000002</v>
      </c>
      <c r="F65" s="30">
        <v>36.5</v>
      </c>
      <c r="G65" s="20">
        <v>0.96</v>
      </c>
      <c r="H65" s="20"/>
      <c r="I65" s="20" t="s">
        <v>147</v>
      </c>
      <c r="J65" s="20"/>
      <c r="K65" s="20"/>
      <c r="L65" s="30">
        <v>0.5</v>
      </c>
      <c r="M65" s="30" t="s">
        <v>179</v>
      </c>
      <c r="N65" s="30" t="s">
        <v>40</v>
      </c>
      <c r="O65" s="30">
        <v>42.7</v>
      </c>
      <c r="P65" s="30">
        <v>41.8</v>
      </c>
      <c r="Q65" s="30" t="s">
        <v>180</v>
      </c>
      <c r="R65" s="30"/>
      <c r="S65" s="30" t="s">
        <v>40</v>
      </c>
      <c r="T65" s="30" t="s">
        <v>40</v>
      </c>
      <c r="U65" s="30" t="s">
        <v>40</v>
      </c>
      <c r="V65" s="30" t="s">
        <v>44</v>
      </c>
      <c r="W65" s="30"/>
      <c r="X65" s="30"/>
      <c r="Y65" s="30" t="s">
        <v>40</v>
      </c>
      <c r="Z65" s="30" t="s">
        <v>40</v>
      </c>
      <c r="AA65" s="30" t="s">
        <v>40</v>
      </c>
      <c r="AB65" s="30">
        <v>2.72</v>
      </c>
      <c r="AC65" s="30" t="s">
        <v>40</v>
      </c>
      <c r="AD65" s="30" t="s">
        <v>40</v>
      </c>
      <c r="AE65" s="32" t="s">
        <v>40</v>
      </c>
      <c r="AF65" s="1">
        <f t="shared" si="0"/>
        <v>274.60000000000002</v>
      </c>
    </row>
    <row r="66" spans="1:32" ht="15.75" thickBot="1" x14ac:dyDescent="0.3">
      <c r="A66" s="1">
        <v>40</v>
      </c>
      <c r="B66" s="33" t="s">
        <v>181</v>
      </c>
      <c r="C66" s="30">
        <v>2985385.7</v>
      </c>
      <c r="D66" s="30">
        <v>640274</v>
      </c>
      <c r="E66" s="30">
        <v>317.60000000000002</v>
      </c>
      <c r="F66" s="30">
        <v>43.1</v>
      </c>
      <c r="G66" s="20">
        <v>0.75</v>
      </c>
      <c r="H66" s="20"/>
      <c r="I66" s="20" t="s">
        <v>147</v>
      </c>
      <c r="J66" s="20"/>
      <c r="K66" s="20"/>
      <c r="L66" s="30">
        <v>0.5</v>
      </c>
      <c r="M66" s="30" t="s">
        <v>182</v>
      </c>
      <c r="N66" s="30" t="s">
        <v>40</v>
      </c>
      <c r="O66" s="30">
        <v>37.200000000000003</v>
      </c>
      <c r="P66" s="30">
        <v>25.2</v>
      </c>
      <c r="Q66" s="30">
        <v>30.7</v>
      </c>
      <c r="R66" s="30">
        <v>6.9</v>
      </c>
      <c r="S66" s="30" t="s">
        <v>40</v>
      </c>
      <c r="T66" s="30" t="s">
        <v>40</v>
      </c>
      <c r="U66" s="30" t="s">
        <v>40</v>
      </c>
      <c r="V66" s="30" t="s">
        <v>44</v>
      </c>
      <c r="W66" s="30"/>
      <c r="X66" s="30"/>
      <c r="Y66" s="30" t="s">
        <v>40</v>
      </c>
      <c r="Z66" s="30" t="s">
        <v>40</v>
      </c>
      <c r="AA66" s="30" t="s">
        <v>40</v>
      </c>
      <c r="AB66" s="30">
        <v>2.72</v>
      </c>
      <c r="AC66" s="30" t="s">
        <v>40</v>
      </c>
      <c r="AD66" s="30" t="s">
        <v>40</v>
      </c>
      <c r="AE66" s="32" t="s">
        <v>40</v>
      </c>
      <c r="AF66" s="1">
        <f t="shared" si="0"/>
        <v>274.5</v>
      </c>
    </row>
    <row r="67" spans="1:32" ht="15.75" thickBot="1" x14ac:dyDescent="0.3">
      <c r="A67" s="1">
        <v>41</v>
      </c>
      <c r="B67" s="1" t="s">
        <v>183</v>
      </c>
      <c r="C67" s="1">
        <v>2980066.8</v>
      </c>
      <c r="D67" s="1">
        <v>643125</v>
      </c>
      <c r="E67" s="1">
        <v>248.5</v>
      </c>
      <c r="F67" s="1">
        <v>25.9</v>
      </c>
      <c r="G67" s="42">
        <v>0.2</v>
      </c>
      <c r="H67" s="42"/>
      <c r="I67" s="42" t="s">
        <v>147</v>
      </c>
      <c r="J67" s="42"/>
      <c r="K67" s="42"/>
      <c r="AF67" s="1">
        <f t="shared" si="0"/>
        <v>222.6</v>
      </c>
    </row>
    <row r="68" spans="1:32" ht="15.75" thickBot="1" x14ac:dyDescent="0.3">
      <c r="A68" s="1">
        <v>42</v>
      </c>
      <c r="B68" s="33" t="s">
        <v>184</v>
      </c>
      <c r="C68" s="30">
        <v>2980207.7</v>
      </c>
      <c r="D68" s="30">
        <v>643031.19999999995</v>
      </c>
      <c r="E68" s="30">
        <v>250</v>
      </c>
      <c r="F68" s="30">
        <v>26.4</v>
      </c>
      <c r="G68" s="20">
        <v>1.75</v>
      </c>
      <c r="H68" s="20"/>
      <c r="I68" s="20" t="s">
        <v>147</v>
      </c>
      <c r="J68" s="20"/>
      <c r="K68" s="20"/>
      <c r="L68" s="30">
        <v>0.5</v>
      </c>
      <c r="M68" s="30" t="s">
        <v>185</v>
      </c>
      <c r="N68" s="30" t="s">
        <v>40</v>
      </c>
      <c r="O68" s="30">
        <v>24.1</v>
      </c>
      <c r="P68" s="30">
        <v>62.9</v>
      </c>
      <c r="Q68" s="30" t="s">
        <v>186</v>
      </c>
      <c r="R68" s="30"/>
      <c r="S68" s="30">
        <v>21</v>
      </c>
      <c r="T68" s="30">
        <v>1.907</v>
      </c>
      <c r="U68" s="30">
        <v>1.5760000000000001</v>
      </c>
      <c r="V68" s="30" t="s">
        <v>44</v>
      </c>
      <c r="W68" s="30"/>
      <c r="X68" s="30"/>
      <c r="Y68" s="30" t="s">
        <v>45</v>
      </c>
      <c r="Z68" s="30">
        <v>0</v>
      </c>
      <c r="AA68" s="30">
        <v>32</v>
      </c>
      <c r="AB68" s="30">
        <v>2.7</v>
      </c>
      <c r="AC68" s="30" t="s">
        <v>40</v>
      </c>
      <c r="AD68" s="30" t="s">
        <v>40</v>
      </c>
      <c r="AE68" s="32" t="s">
        <v>40</v>
      </c>
      <c r="AF68" s="1">
        <f t="shared" ref="AF68:AF131" si="1">E68-F68</f>
        <v>223.6</v>
      </c>
    </row>
    <row r="69" spans="1:32" x14ac:dyDescent="0.25">
      <c r="A69" s="61">
        <v>43</v>
      </c>
      <c r="B69" s="59" t="s">
        <v>187</v>
      </c>
      <c r="C69" s="34">
        <v>2983559.4</v>
      </c>
      <c r="D69" s="34">
        <v>640751.19999999995</v>
      </c>
      <c r="E69" s="34">
        <v>343.5</v>
      </c>
      <c r="F69" s="34">
        <v>73.400000000000006</v>
      </c>
      <c r="G69" s="7">
        <v>6.03</v>
      </c>
      <c r="H69" s="7"/>
      <c r="I69" s="7" t="s">
        <v>147</v>
      </c>
      <c r="J69" s="7"/>
      <c r="K69" s="7"/>
      <c r="L69" s="34">
        <v>1</v>
      </c>
      <c r="M69" s="34" t="s">
        <v>188</v>
      </c>
      <c r="N69" s="34" t="s">
        <v>40</v>
      </c>
      <c r="O69" s="34">
        <v>7.1</v>
      </c>
      <c r="P69" s="34">
        <v>52.9</v>
      </c>
      <c r="Q69" s="34">
        <v>28.5</v>
      </c>
      <c r="R69" s="34">
        <v>11.5</v>
      </c>
      <c r="S69" s="34">
        <v>22.4</v>
      </c>
      <c r="T69" s="34">
        <v>1.843</v>
      </c>
      <c r="U69" s="34">
        <v>1.506</v>
      </c>
      <c r="V69" s="34" t="s">
        <v>189</v>
      </c>
      <c r="W69" s="34">
        <v>23.7</v>
      </c>
      <c r="X69" s="34">
        <v>11.1</v>
      </c>
      <c r="Y69" s="34" t="s">
        <v>89</v>
      </c>
      <c r="Z69" s="34">
        <v>0.17</v>
      </c>
      <c r="AA69" s="34">
        <v>30.5</v>
      </c>
      <c r="AB69" s="34">
        <v>2.68</v>
      </c>
      <c r="AC69" s="34" t="s">
        <v>40</v>
      </c>
      <c r="AD69" s="34" t="s">
        <v>40</v>
      </c>
      <c r="AE69" s="35" t="s">
        <v>40</v>
      </c>
      <c r="AF69" s="1">
        <f t="shared" si="1"/>
        <v>270.10000000000002</v>
      </c>
    </row>
    <row r="70" spans="1:32" x14ac:dyDescent="0.25">
      <c r="A70" s="61"/>
      <c r="B70" s="62"/>
      <c r="C70" s="38"/>
      <c r="D70" s="38"/>
      <c r="E70" s="38"/>
      <c r="F70" s="38"/>
      <c r="G70" s="15"/>
      <c r="H70" s="15"/>
      <c r="I70" s="15"/>
      <c r="J70" s="15"/>
      <c r="K70" s="15"/>
      <c r="L70" s="38">
        <v>1.5</v>
      </c>
      <c r="M70" s="38" t="s">
        <v>188</v>
      </c>
      <c r="N70" s="38">
        <v>17</v>
      </c>
      <c r="O70" s="38">
        <v>8.1</v>
      </c>
      <c r="P70" s="38">
        <v>45.4</v>
      </c>
      <c r="Q70" s="38">
        <v>35.799999999999997</v>
      </c>
      <c r="R70" s="38">
        <v>10.7</v>
      </c>
      <c r="S70" s="38">
        <v>21.3</v>
      </c>
      <c r="T70" s="38">
        <v>1.859</v>
      </c>
      <c r="U70" s="38">
        <v>1.5329999999999999</v>
      </c>
      <c r="V70" s="38" t="s">
        <v>190</v>
      </c>
      <c r="W70" s="38">
        <v>22.5</v>
      </c>
      <c r="X70" s="38">
        <v>11</v>
      </c>
      <c r="Y70" s="38" t="s">
        <v>45</v>
      </c>
      <c r="Z70" s="38">
        <v>0.1</v>
      </c>
      <c r="AA70" s="38">
        <v>31</v>
      </c>
      <c r="AB70" s="38">
        <v>2.68</v>
      </c>
      <c r="AC70" s="38" t="s">
        <v>40</v>
      </c>
      <c r="AD70" s="38" t="s">
        <v>40</v>
      </c>
      <c r="AE70" s="40" t="s">
        <v>40</v>
      </c>
      <c r="AF70" s="1">
        <f t="shared" si="1"/>
        <v>0</v>
      </c>
    </row>
    <row r="71" spans="1:32" ht="15.75" thickBot="1" x14ac:dyDescent="0.3">
      <c r="A71" s="61"/>
      <c r="B71" s="60"/>
      <c r="C71" s="36"/>
      <c r="D71" s="36"/>
      <c r="E71" s="36"/>
      <c r="F71" s="36"/>
      <c r="G71" s="2"/>
      <c r="H71" s="2"/>
      <c r="I71" s="2"/>
      <c r="J71" s="2"/>
      <c r="K71" s="2"/>
      <c r="L71" s="36">
        <v>4.5</v>
      </c>
      <c r="M71" s="36" t="s">
        <v>191</v>
      </c>
      <c r="N71" s="36">
        <v>22</v>
      </c>
      <c r="O71" s="36">
        <v>18.5</v>
      </c>
      <c r="P71" s="36">
        <v>41.7</v>
      </c>
      <c r="Q71" s="36">
        <v>30.7</v>
      </c>
      <c r="R71" s="36">
        <v>9.1</v>
      </c>
      <c r="S71" s="36">
        <v>17.7</v>
      </c>
      <c r="T71" s="36">
        <v>1.877</v>
      </c>
      <c r="U71" s="36">
        <v>1.595</v>
      </c>
      <c r="V71" s="36" t="s">
        <v>192</v>
      </c>
      <c r="W71" s="36">
        <v>23.9</v>
      </c>
      <c r="X71" s="36">
        <v>9.8000000000000007</v>
      </c>
      <c r="Y71" s="36" t="s">
        <v>45</v>
      </c>
      <c r="Z71" s="36">
        <v>0.11</v>
      </c>
      <c r="AA71" s="36">
        <v>32.5</v>
      </c>
      <c r="AB71" s="36">
        <v>2.69</v>
      </c>
      <c r="AC71" s="36" t="s">
        <v>40</v>
      </c>
      <c r="AD71" s="36" t="s">
        <v>40</v>
      </c>
      <c r="AE71" s="37" t="s">
        <v>40</v>
      </c>
      <c r="AF71" s="1">
        <f t="shared" si="1"/>
        <v>0</v>
      </c>
    </row>
    <row r="72" spans="1:32" ht="15.75" thickBot="1" x14ac:dyDescent="0.3">
      <c r="A72" s="1">
        <v>44</v>
      </c>
      <c r="B72" s="33" t="s">
        <v>193</v>
      </c>
      <c r="C72" s="30">
        <v>2983576.1</v>
      </c>
      <c r="D72" s="30">
        <v>640762.1</v>
      </c>
      <c r="E72" s="30">
        <v>326.39999999999998</v>
      </c>
      <c r="F72" s="30">
        <v>56.2</v>
      </c>
      <c r="G72" s="20">
        <v>1.25</v>
      </c>
      <c r="H72" s="20"/>
      <c r="I72" s="20" t="s">
        <v>147</v>
      </c>
      <c r="J72" s="20"/>
      <c r="K72" s="20"/>
      <c r="L72" s="30">
        <v>0.5</v>
      </c>
      <c r="M72" s="30" t="s">
        <v>60</v>
      </c>
      <c r="N72" s="30" t="s">
        <v>40</v>
      </c>
      <c r="O72" s="30">
        <v>40.299999999999997</v>
      </c>
      <c r="P72" s="30">
        <v>39.5</v>
      </c>
      <c r="Q72" s="30" t="s">
        <v>194</v>
      </c>
      <c r="R72" s="30"/>
      <c r="S72" s="30" t="s">
        <v>40</v>
      </c>
      <c r="T72" s="30" t="s">
        <v>40</v>
      </c>
      <c r="U72" s="30" t="s">
        <v>40</v>
      </c>
      <c r="V72" s="30" t="s">
        <v>44</v>
      </c>
      <c r="W72" s="30"/>
      <c r="X72" s="30"/>
      <c r="Y72" s="30" t="s">
        <v>40</v>
      </c>
      <c r="Z72" s="30" t="s">
        <v>40</v>
      </c>
      <c r="AA72" s="30" t="s">
        <v>40</v>
      </c>
      <c r="AB72" s="30">
        <v>2.72</v>
      </c>
      <c r="AC72" s="30" t="s">
        <v>40</v>
      </c>
      <c r="AD72" s="30" t="s">
        <v>40</v>
      </c>
      <c r="AE72" s="32" t="s">
        <v>40</v>
      </c>
      <c r="AF72" s="1">
        <f t="shared" si="1"/>
        <v>270.2</v>
      </c>
    </row>
    <row r="73" spans="1:32" ht="15.75" thickBot="1" x14ac:dyDescent="0.3">
      <c r="A73" s="1">
        <v>45</v>
      </c>
      <c r="B73" s="33" t="s">
        <v>195</v>
      </c>
      <c r="C73" s="30">
        <v>2986415.5</v>
      </c>
      <c r="D73" s="30">
        <v>641009.5</v>
      </c>
      <c r="E73" s="30">
        <v>322</v>
      </c>
      <c r="F73" s="30">
        <v>44.9</v>
      </c>
      <c r="G73" s="20">
        <v>1.1200000000000001</v>
      </c>
      <c r="H73" s="20"/>
      <c r="I73" s="20">
        <v>25.35</v>
      </c>
      <c r="J73" s="20"/>
      <c r="K73" s="20"/>
      <c r="L73" s="30">
        <v>0.5</v>
      </c>
      <c r="M73" s="30" t="s">
        <v>170</v>
      </c>
      <c r="N73" s="30" t="s">
        <v>40</v>
      </c>
      <c r="O73" s="30">
        <v>29</v>
      </c>
      <c r="P73" s="30">
        <v>57.9</v>
      </c>
      <c r="Q73" s="30" t="s">
        <v>196</v>
      </c>
      <c r="R73" s="30"/>
      <c r="S73" s="30">
        <v>17.7</v>
      </c>
      <c r="T73" s="30">
        <v>1.869</v>
      </c>
      <c r="U73" s="30">
        <v>1.5880000000000001</v>
      </c>
      <c r="V73" s="30" t="s">
        <v>44</v>
      </c>
      <c r="W73" s="30"/>
      <c r="X73" s="30"/>
      <c r="Y73" s="30" t="s">
        <v>45</v>
      </c>
      <c r="Z73" s="30">
        <v>0</v>
      </c>
      <c r="AA73" s="30">
        <v>31.5</v>
      </c>
      <c r="AB73" s="30">
        <v>2.71</v>
      </c>
      <c r="AC73" s="30" t="s">
        <v>40</v>
      </c>
      <c r="AD73" s="30" t="s">
        <v>40</v>
      </c>
      <c r="AE73" s="32" t="s">
        <v>40</v>
      </c>
      <c r="AF73" s="1">
        <f t="shared" si="1"/>
        <v>277.10000000000002</v>
      </c>
    </row>
    <row r="74" spans="1:32" x14ac:dyDescent="0.25">
      <c r="A74" s="61">
        <v>46</v>
      </c>
      <c r="B74" s="59" t="s">
        <v>197</v>
      </c>
      <c r="C74" s="34">
        <v>2986407.8</v>
      </c>
      <c r="D74" s="34">
        <v>641021.30000000005</v>
      </c>
      <c r="E74" s="34">
        <v>314.5</v>
      </c>
      <c r="F74" s="34">
        <v>37.5</v>
      </c>
      <c r="G74" s="7">
        <v>1.65</v>
      </c>
      <c r="H74" s="7"/>
      <c r="I74" s="7">
        <v>22.1</v>
      </c>
      <c r="J74" s="7"/>
      <c r="K74" s="7"/>
      <c r="L74" s="34">
        <v>0.5</v>
      </c>
      <c r="M74" s="34" t="s">
        <v>198</v>
      </c>
      <c r="N74" s="34" t="s">
        <v>40</v>
      </c>
      <c r="O74" s="34">
        <v>15.8</v>
      </c>
      <c r="P74" s="34">
        <v>39.9</v>
      </c>
      <c r="Q74" s="34">
        <v>34.5</v>
      </c>
      <c r="R74" s="34">
        <v>9.8000000000000007</v>
      </c>
      <c r="S74" s="34">
        <v>19.399999999999999</v>
      </c>
      <c r="T74" s="34">
        <v>1.835</v>
      </c>
      <c r="U74" s="34">
        <v>1.5369999999999999</v>
      </c>
      <c r="V74" s="34" t="s">
        <v>199</v>
      </c>
      <c r="W74" s="34">
        <v>22.1</v>
      </c>
      <c r="X74" s="34">
        <v>10.3</v>
      </c>
      <c r="Y74" s="34" t="s">
        <v>45</v>
      </c>
      <c r="Z74" s="34">
        <v>0.15</v>
      </c>
      <c r="AA74" s="34">
        <v>30.5</v>
      </c>
      <c r="AB74" s="34">
        <v>2.68</v>
      </c>
      <c r="AC74" s="34" t="s">
        <v>40</v>
      </c>
      <c r="AD74" s="34" t="s">
        <v>40</v>
      </c>
      <c r="AE74" s="35" t="s">
        <v>40</v>
      </c>
      <c r="AF74" s="1">
        <f t="shared" si="1"/>
        <v>277</v>
      </c>
    </row>
    <row r="75" spans="1:32" ht="15.75" thickBot="1" x14ac:dyDescent="0.3">
      <c r="A75" s="61"/>
      <c r="B75" s="60"/>
      <c r="C75" s="36"/>
      <c r="D75" s="36"/>
      <c r="E75" s="36"/>
      <c r="F75" s="36"/>
      <c r="G75" s="2"/>
      <c r="H75" s="2"/>
      <c r="I75" s="2"/>
      <c r="J75" s="2"/>
      <c r="K75" s="2"/>
      <c r="L75" s="36">
        <v>1</v>
      </c>
      <c r="M75" s="36" t="s">
        <v>198</v>
      </c>
      <c r="N75" s="36" t="s">
        <v>40</v>
      </c>
      <c r="O75" s="36">
        <v>26.5</v>
      </c>
      <c r="P75" s="36">
        <v>38.5</v>
      </c>
      <c r="Q75" s="36">
        <v>29</v>
      </c>
      <c r="R75" s="36">
        <v>6</v>
      </c>
      <c r="S75" s="36">
        <v>17.3</v>
      </c>
      <c r="T75" s="36">
        <v>1.8620000000000001</v>
      </c>
      <c r="U75" s="36">
        <v>1.587</v>
      </c>
      <c r="V75" s="36" t="s">
        <v>44</v>
      </c>
      <c r="W75" s="36"/>
      <c r="X75" s="36"/>
      <c r="Y75" s="36" t="s">
        <v>89</v>
      </c>
      <c r="Z75" s="36">
        <v>0</v>
      </c>
      <c r="AA75" s="36">
        <v>31.5</v>
      </c>
      <c r="AB75" s="36">
        <v>2.68</v>
      </c>
      <c r="AC75" s="36" t="s">
        <v>40</v>
      </c>
      <c r="AD75" s="36" t="s">
        <v>40</v>
      </c>
      <c r="AE75" s="37" t="s">
        <v>40</v>
      </c>
      <c r="AF75" s="1">
        <f t="shared" si="1"/>
        <v>0</v>
      </c>
    </row>
    <row r="76" spans="1:32" ht="15.75" thickBot="1" x14ac:dyDescent="0.3">
      <c r="A76" s="1">
        <v>47</v>
      </c>
      <c r="B76" s="33" t="s">
        <v>200</v>
      </c>
      <c r="C76" s="30">
        <v>2986892.3</v>
      </c>
      <c r="D76" s="30">
        <v>641299.80000000005</v>
      </c>
      <c r="E76" s="30">
        <v>375.6</v>
      </c>
      <c r="F76" s="30">
        <v>100.8</v>
      </c>
      <c r="G76" s="20">
        <v>5.5</v>
      </c>
      <c r="H76" s="20"/>
      <c r="I76" s="20" t="s">
        <v>147</v>
      </c>
      <c r="J76" s="20"/>
      <c r="K76" s="20"/>
      <c r="L76" s="30">
        <v>0.5</v>
      </c>
      <c r="M76" s="30" t="s">
        <v>101</v>
      </c>
      <c r="N76" s="30" t="s">
        <v>40</v>
      </c>
      <c r="O76" s="30">
        <v>24.1</v>
      </c>
      <c r="P76" s="30">
        <v>51.3</v>
      </c>
      <c r="Q76" s="30" t="s">
        <v>201</v>
      </c>
      <c r="R76" s="30"/>
      <c r="S76" s="30">
        <v>16.3</v>
      </c>
      <c r="T76" s="30">
        <v>1.9059999999999999</v>
      </c>
      <c r="U76" s="30">
        <v>1.639</v>
      </c>
      <c r="V76" s="30" t="s">
        <v>44</v>
      </c>
      <c r="W76" s="30"/>
      <c r="X76" s="30"/>
      <c r="Y76" s="30" t="s">
        <v>45</v>
      </c>
      <c r="Z76" s="30">
        <v>0</v>
      </c>
      <c r="AA76" s="30">
        <v>32.5</v>
      </c>
      <c r="AB76" s="30">
        <v>2.69</v>
      </c>
      <c r="AC76" s="30" t="s">
        <v>40</v>
      </c>
      <c r="AD76" s="30" t="s">
        <v>40</v>
      </c>
      <c r="AE76" s="32" t="s">
        <v>40</v>
      </c>
      <c r="AF76" s="1">
        <f t="shared" si="1"/>
        <v>274.8</v>
      </c>
    </row>
    <row r="77" spans="1:32" ht="15.75" thickBot="1" x14ac:dyDescent="0.3">
      <c r="A77" s="1">
        <v>48</v>
      </c>
      <c r="B77" s="1" t="s">
        <v>202</v>
      </c>
      <c r="C77" s="1">
        <v>2990162.8</v>
      </c>
      <c r="D77" s="1">
        <v>641480</v>
      </c>
      <c r="E77" s="1">
        <v>269.2</v>
      </c>
      <c r="F77" s="1">
        <v>20.85</v>
      </c>
      <c r="G77" s="42">
        <v>0.28000000000000003</v>
      </c>
      <c r="H77" s="42"/>
      <c r="I77" s="42">
        <v>14.5</v>
      </c>
      <c r="J77" s="42"/>
      <c r="K77" s="42"/>
      <c r="AF77" s="1">
        <f t="shared" si="1"/>
        <v>248.35</v>
      </c>
    </row>
    <row r="78" spans="1:32" x14ac:dyDescent="0.25">
      <c r="A78" s="61">
        <v>49</v>
      </c>
      <c r="B78" s="59" t="s">
        <v>203</v>
      </c>
      <c r="C78" s="34">
        <v>2990171.1</v>
      </c>
      <c r="D78" s="34">
        <v>641498.30000000005</v>
      </c>
      <c r="E78" s="34">
        <v>271.89999999999998</v>
      </c>
      <c r="F78" s="34">
        <v>23.8</v>
      </c>
      <c r="G78" s="7">
        <v>1.75</v>
      </c>
      <c r="H78" s="7"/>
      <c r="I78" s="7">
        <v>15.25</v>
      </c>
      <c r="J78" s="7"/>
      <c r="K78" s="7"/>
      <c r="L78" s="34">
        <v>0.5</v>
      </c>
      <c r="M78" s="34" t="s">
        <v>204</v>
      </c>
      <c r="N78" s="34" t="s">
        <v>40</v>
      </c>
      <c r="O78" s="34">
        <v>3.1</v>
      </c>
      <c r="P78" s="34">
        <v>38.5</v>
      </c>
      <c r="Q78" s="34">
        <v>53.6</v>
      </c>
      <c r="R78" s="34">
        <v>4.8</v>
      </c>
      <c r="S78" s="34">
        <v>17.7</v>
      </c>
      <c r="T78" s="34">
        <v>1.877</v>
      </c>
      <c r="U78" s="34">
        <v>1.595</v>
      </c>
      <c r="V78" s="34" t="s">
        <v>44</v>
      </c>
      <c r="W78" s="34"/>
      <c r="X78" s="34"/>
      <c r="Y78" s="34" t="s">
        <v>45</v>
      </c>
      <c r="Z78" s="34">
        <v>0.13</v>
      </c>
      <c r="AA78" s="34">
        <v>30.5</v>
      </c>
      <c r="AB78" s="34">
        <v>2.67</v>
      </c>
      <c r="AC78" s="34" t="s">
        <v>40</v>
      </c>
      <c r="AD78" s="34" t="s">
        <v>40</v>
      </c>
      <c r="AE78" s="35" t="s">
        <v>40</v>
      </c>
      <c r="AF78" s="1">
        <f t="shared" si="1"/>
        <v>248.09999999999997</v>
      </c>
    </row>
    <row r="79" spans="1:32" ht="15.75" thickBot="1" x14ac:dyDescent="0.3">
      <c r="A79" s="61"/>
      <c r="B79" s="60"/>
      <c r="C79" s="36"/>
      <c r="D79" s="36"/>
      <c r="E79" s="36"/>
      <c r="F79" s="36"/>
      <c r="G79" s="36"/>
      <c r="H79" s="36"/>
      <c r="I79" s="36"/>
      <c r="J79" s="36"/>
      <c r="K79" s="36"/>
      <c r="L79" s="36">
        <v>1</v>
      </c>
      <c r="M79" s="36" t="s">
        <v>205</v>
      </c>
      <c r="N79" s="36">
        <v>24</v>
      </c>
      <c r="O79" s="36">
        <v>18.2</v>
      </c>
      <c r="P79" s="36">
        <v>56.8</v>
      </c>
      <c r="Q79" s="36" t="s">
        <v>206</v>
      </c>
      <c r="R79" s="36"/>
      <c r="S79" s="36">
        <v>16.100000000000001</v>
      </c>
      <c r="T79" s="36">
        <v>1.9379999999999999</v>
      </c>
      <c r="U79" s="36">
        <v>1.669</v>
      </c>
      <c r="V79" s="36" t="s">
        <v>44</v>
      </c>
      <c r="W79" s="36"/>
      <c r="X79" s="36"/>
      <c r="Y79" s="36" t="s">
        <v>45</v>
      </c>
      <c r="Z79" s="36">
        <v>0</v>
      </c>
      <c r="AA79" s="36">
        <v>34</v>
      </c>
      <c r="AB79" s="36">
        <v>2.7</v>
      </c>
      <c r="AC79" s="36" t="s">
        <v>40</v>
      </c>
      <c r="AD79" s="36" t="s">
        <v>40</v>
      </c>
      <c r="AE79" s="37" t="s">
        <v>40</v>
      </c>
      <c r="AF79" s="1">
        <f t="shared" si="1"/>
        <v>0</v>
      </c>
    </row>
    <row r="80" spans="1:32" x14ac:dyDescent="0.25">
      <c r="A80" s="61">
        <v>50</v>
      </c>
      <c r="B80" s="59" t="s">
        <v>207</v>
      </c>
      <c r="C80" s="34">
        <v>2984158.6</v>
      </c>
      <c r="D80" s="34">
        <v>640498.19999999995</v>
      </c>
      <c r="E80" s="34">
        <v>303.60000000000002</v>
      </c>
      <c r="F80" s="34">
        <v>15.1</v>
      </c>
      <c r="G80" s="44">
        <v>4.55</v>
      </c>
      <c r="H80" s="34"/>
      <c r="I80" s="34" t="s">
        <v>147</v>
      </c>
      <c r="J80" s="34"/>
      <c r="K80" s="34"/>
      <c r="L80" s="34">
        <v>1</v>
      </c>
      <c r="M80" s="34" t="s">
        <v>208</v>
      </c>
      <c r="N80" s="34" t="s">
        <v>40</v>
      </c>
      <c r="O80" s="34">
        <v>3.8</v>
      </c>
      <c r="P80" s="34">
        <v>32.200000000000003</v>
      </c>
      <c r="Q80" s="34">
        <v>58.4</v>
      </c>
      <c r="R80" s="34">
        <v>5.6</v>
      </c>
      <c r="S80" s="34">
        <v>20.2</v>
      </c>
      <c r="T80" s="34">
        <v>1.829</v>
      </c>
      <c r="U80" s="34">
        <v>1.522</v>
      </c>
      <c r="V80" s="34" t="s">
        <v>44</v>
      </c>
      <c r="W80" s="34"/>
      <c r="X80" s="34"/>
      <c r="Y80" s="34" t="s">
        <v>89</v>
      </c>
      <c r="Z80" s="34">
        <v>0.12</v>
      </c>
      <c r="AA80" s="34">
        <v>30.5</v>
      </c>
      <c r="AB80" s="34">
        <v>2.66</v>
      </c>
      <c r="AC80" s="34" t="s">
        <v>40</v>
      </c>
      <c r="AD80" s="34" t="s">
        <v>40</v>
      </c>
      <c r="AE80" s="35" t="s">
        <v>40</v>
      </c>
      <c r="AF80" s="1">
        <f t="shared" si="1"/>
        <v>288.5</v>
      </c>
    </row>
    <row r="81" spans="1:32" ht="15.75" thickBot="1" x14ac:dyDescent="0.3">
      <c r="A81" s="61"/>
      <c r="B81" s="60"/>
      <c r="C81" s="36"/>
      <c r="D81" s="36"/>
      <c r="E81" s="36"/>
      <c r="F81" s="36"/>
      <c r="G81" s="45"/>
      <c r="H81" s="36"/>
      <c r="I81" s="36"/>
      <c r="J81" s="36"/>
      <c r="K81" s="36"/>
      <c r="L81" s="36">
        <v>3</v>
      </c>
      <c r="M81" s="36" t="s">
        <v>209</v>
      </c>
      <c r="N81" s="36">
        <v>38</v>
      </c>
      <c r="O81" s="36">
        <v>30.3</v>
      </c>
      <c r="P81" s="36">
        <v>49.5</v>
      </c>
      <c r="Q81" s="36" t="s">
        <v>194</v>
      </c>
      <c r="R81" s="36"/>
      <c r="S81" s="36">
        <v>16.8</v>
      </c>
      <c r="T81" s="36">
        <v>1.95</v>
      </c>
      <c r="U81" s="36">
        <v>1.67</v>
      </c>
      <c r="V81" s="36" t="s">
        <v>44</v>
      </c>
      <c r="W81" s="36"/>
      <c r="X81" s="36"/>
      <c r="Y81" s="36" t="s">
        <v>45</v>
      </c>
      <c r="Z81" s="36">
        <v>0</v>
      </c>
      <c r="AA81" s="36">
        <v>34</v>
      </c>
      <c r="AB81" s="36">
        <v>2.7</v>
      </c>
      <c r="AC81" s="36" t="s">
        <v>40</v>
      </c>
      <c r="AD81" s="36" t="s">
        <v>40</v>
      </c>
      <c r="AE81" s="37" t="s">
        <v>40</v>
      </c>
      <c r="AF81" s="1">
        <f t="shared" si="1"/>
        <v>0</v>
      </c>
    </row>
    <row r="82" spans="1:32" x14ac:dyDescent="0.25">
      <c r="A82" s="61">
        <v>51</v>
      </c>
      <c r="B82" s="59" t="s">
        <v>210</v>
      </c>
      <c r="C82" s="34">
        <v>2984178.7</v>
      </c>
      <c r="D82" s="34">
        <v>640496.4</v>
      </c>
      <c r="E82" s="34">
        <v>313.10000000000002</v>
      </c>
      <c r="F82" s="34">
        <v>15.1</v>
      </c>
      <c r="G82" s="44">
        <v>7.1</v>
      </c>
      <c r="H82" s="34"/>
      <c r="I82" s="34" t="s">
        <v>147</v>
      </c>
      <c r="J82" s="34"/>
      <c r="K82" s="34"/>
      <c r="L82" s="34">
        <v>1</v>
      </c>
      <c r="M82" s="34" t="s">
        <v>117</v>
      </c>
      <c r="N82" s="34">
        <v>30</v>
      </c>
      <c r="O82" s="34">
        <v>39.200000000000003</v>
      </c>
      <c r="P82" s="34">
        <v>52.7</v>
      </c>
      <c r="Q82" s="34" t="s">
        <v>177</v>
      </c>
      <c r="R82" s="34"/>
      <c r="S82" s="34" t="s">
        <v>40</v>
      </c>
      <c r="T82" s="34" t="s">
        <v>40</v>
      </c>
      <c r="U82" s="34" t="s">
        <v>40</v>
      </c>
      <c r="V82" s="34" t="s">
        <v>44</v>
      </c>
      <c r="W82" s="34"/>
      <c r="X82" s="34"/>
      <c r="Y82" s="34" t="s">
        <v>40</v>
      </c>
      <c r="Z82" s="34" t="s">
        <v>40</v>
      </c>
      <c r="AA82" s="34" t="s">
        <v>40</v>
      </c>
      <c r="AB82" s="34">
        <v>2.7</v>
      </c>
      <c r="AC82" s="34" t="s">
        <v>40</v>
      </c>
      <c r="AD82" s="34" t="s">
        <v>40</v>
      </c>
      <c r="AE82" s="35" t="s">
        <v>40</v>
      </c>
      <c r="AF82" s="1">
        <f t="shared" si="1"/>
        <v>298</v>
      </c>
    </row>
    <row r="83" spans="1:32" x14ac:dyDescent="0.25">
      <c r="A83" s="61"/>
      <c r="B83" s="62"/>
      <c r="C83" s="38"/>
      <c r="D83" s="38"/>
      <c r="E83" s="38"/>
      <c r="F83" s="38"/>
      <c r="G83" s="46"/>
      <c r="H83" s="38"/>
      <c r="I83" s="38"/>
      <c r="J83" s="38"/>
      <c r="K83" s="38"/>
      <c r="L83" s="38">
        <v>2.5</v>
      </c>
      <c r="M83" s="38" t="s">
        <v>117</v>
      </c>
      <c r="N83" s="38">
        <v>34</v>
      </c>
      <c r="O83" s="38">
        <v>40.1</v>
      </c>
      <c r="P83" s="38">
        <v>47.9</v>
      </c>
      <c r="Q83" s="38" t="s">
        <v>211</v>
      </c>
      <c r="R83" s="38"/>
      <c r="S83" s="38" t="s">
        <v>40</v>
      </c>
      <c r="T83" s="38" t="s">
        <v>40</v>
      </c>
      <c r="U83" s="38" t="s">
        <v>40</v>
      </c>
      <c r="V83" s="38" t="s">
        <v>44</v>
      </c>
      <c r="W83" s="38"/>
      <c r="X83" s="38"/>
      <c r="Y83" s="38" t="s">
        <v>40</v>
      </c>
      <c r="Z83" s="38" t="s">
        <v>40</v>
      </c>
      <c r="AA83" s="38" t="s">
        <v>40</v>
      </c>
      <c r="AB83" s="38">
        <v>2.72</v>
      </c>
      <c r="AC83" s="38" t="s">
        <v>40</v>
      </c>
      <c r="AD83" s="38" t="s">
        <v>40</v>
      </c>
      <c r="AE83" s="40" t="s">
        <v>40</v>
      </c>
      <c r="AF83" s="1">
        <f t="shared" si="1"/>
        <v>0</v>
      </c>
    </row>
    <row r="84" spans="1:32" ht="15.75" thickBot="1" x14ac:dyDescent="0.3">
      <c r="A84" s="61"/>
      <c r="B84" s="60"/>
      <c r="C84" s="36"/>
      <c r="D84" s="36"/>
      <c r="E84" s="36"/>
      <c r="F84" s="36"/>
      <c r="G84" s="45"/>
      <c r="H84" s="36"/>
      <c r="I84" s="36"/>
      <c r="J84" s="36"/>
      <c r="K84" s="36"/>
      <c r="L84" s="36">
        <v>5.5</v>
      </c>
      <c r="M84" s="36" t="s">
        <v>117</v>
      </c>
      <c r="N84" s="36">
        <v>56</v>
      </c>
      <c r="O84" s="36">
        <v>43.3</v>
      </c>
      <c r="P84" s="36">
        <v>21.6</v>
      </c>
      <c r="Q84" s="36" t="s">
        <v>212</v>
      </c>
      <c r="R84" s="36"/>
      <c r="S84" s="36" t="s">
        <v>40</v>
      </c>
      <c r="T84" s="36" t="s">
        <v>40</v>
      </c>
      <c r="U84" s="36" t="s">
        <v>40</v>
      </c>
      <c r="V84" s="36" t="s">
        <v>44</v>
      </c>
      <c r="W84" s="36"/>
      <c r="X84" s="36"/>
      <c r="Y84" s="36" t="s">
        <v>40</v>
      </c>
      <c r="Z84" s="36" t="s">
        <v>40</v>
      </c>
      <c r="AA84" s="36" t="s">
        <v>40</v>
      </c>
      <c r="AB84" s="36">
        <v>2.72</v>
      </c>
      <c r="AC84" s="36" t="s">
        <v>40</v>
      </c>
      <c r="AD84" s="36" t="s">
        <v>40</v>
      </c>
      <c r="AE84" s="37" t="s">
        <v>40</v>
      </c>
      <c r="AF84" s="1">
        <f t="shared" si="1"/>
        <v>0</v>
      </c>
    </row>
    <row r="85" spans="1:32" x14ac:dyDescent="0.25">
      <c r="A85" s="1">
        <v>52</v>
      </c>
      <c r="B85" s="1" t="s">
        <v>213</v>
      </c>
      <c r="C85" s="1">
        <v>2987020.7</v>
      </c>
      <c r="D85" s="1">
        <v>641681.69999999995</v>
      </c>
      <c r="E85" s="1">
        <v>294.10000000000002</v>
      </c>
      <c r="F85" s="1">
        <v>15.85</v>
      </c>
      <c r="G85" s="46">
        <v>0.75</v>
      </c>
      <c r="I85" s="1" t="s">
        <v>147</v>
      </c>
      <c r="AF85" s="1">
        <f t="shared" si="1"/>
        <v>278.25</v>
      </c>
    </row>
    <row r="86" spans="1:32" ht="15.75" thickBot="1" x14ac:dyDescent="0.3">
      <c r="A86" s="1">
        <v>53</v>
      </c>
      <c r="B86" s="1" t="s">
        <v>214</v>
      </c>
      <c r="C86" s="1">
        <v>2987036</v>
      </c>
      <c r="D86" s="1">
        <v>641694.80000000005</v>
      </c>
      <c r="E86" s="1">
        <v>290.39999999999998</v>
      </c>
      <c r="F86" s="1">
        <v>15</v>
      </c>
      <c r="G86" s="46">
        <v>0.65</v>
      </c>
      <c r="I86" s="1" t="s">
        <v>147</v>
      </c>
      <c r="AF86" s="1">
        <f t="shared" si="1"/>
        <v>275.39999999999998</v>
      </c>
    </row>
    <row r="87" spans="1:32" ht="15.75" thickBot="1" x14ac:dyDescent="0.3">
      <c r="A87" s="1">
        <v>54</v>
      </c>
      <c r="B87" s="33" t="s">
        <v>215</v>
      </c>
      <c r="C87" s="30">
        <v>2978083.8</v>
      </c>
      <c r="D87" s="30">
        <v>644954</v>
      </c>
      <c r="E87" s="30">
        <v>187.3</v>
      </c>
      <c r="F87" s="30">
        <v>40</v>
      </c>
      <c r="G87" s="47">
        <v>0.75</v>
      </c>
      <c r="H87" s="30"/>
      <c r="I87" s="30">
        <v>9.4</v>
      </c>
      <c r="J87" s="30"/>
      <c r="K87" s="30"/>
      <c r="L87" s="30">
        <v>0.5</v>
      </c>
      <c r="M87" s="30" t="s">
        <v>216</v>
      </c>
      <c r="N87" s="30" t="s">
        <v>40</v>
      </c>
      <c r="O87" s="30">
        <v>16.3</v>
      </c>
      <c r="P87" s="30">
        <v>62.1</v>
      </c>
      <c r="Q87" s="30" t="s">
        <v>217</v>
      </c>
      <c r="R87" s="30"/>
      <c r="S87" s="30">
        <v>18.600000000000001</v>
      </c>
      <c r="T87" s="30">
        <v>1.85</v>
      </c>
      <c r="U87" s="30">
        <v>1.56</v>
      </c>
      <c r="V87" s="30" t="s">
        <v>44</v>
      </c>
      <c r="W87" s="30"/>
      <c r="X87" s="30"/>
      <c r="Y87" s="30" t="s">
        <v>45</v>
      </c>
      <c r="Z87" s="30">
        <v>0</v>
      </c>
      <c r="AA87" s="30">
        <v>30.5</v>
      </c>
      <c r="AB87" s="30">
        <v>2.69</v>
      </c>
      <c r="AC87" s="30" t="s">
        <v>40</v>
      </c>
      <c r="AD87" s="30" t="s">
        <v>40</v>
      </c>
      <c r="AE87" s="32" t="s">
        <v>40</v>
      </c>
      <c r="AF87" s="1">
        <f t="shared" si="1"/>
        <v>147.30000000000001</v>
      </c>
    </row>
    <row r="88" spans="1:32" ht="15.75" thickBot="1" x14ac:dyDescent="0.3">
      <c r="A88" s="1">
        <v>55</v>
      </c>
      <c r="B88" s="33" t="s">
        <v>218</v>
      </c>
      <c r="C88" s="30">
        <v>2978129.5</v>
      </c>
      <c r="D88" s="30">
        <v>644918.69999999995</v>
      </c>
      <c r="E88" s="30">
        <v>185.1</v>
      </c>
      <c r="F88" s="30">
        <v>40</v>
      </c>
      <c r="G88" s="47">
        <v>1.04</v>
      </c>
      <c r="H88" s="30"/>
      <c r="I88" s="30" t="s">
        <v>147</v>
      </c>
      <c r="J88" s="30"/>
      <c r="K88" s="30"/>
      <c r="L88" s="30">
        <v>0.5</v>
      </c>
      <c r="M88" s="30" t="s">
        <v>158</v>
      </c>
      <c r="N88" s="30" t="s">
        <v>40</v>
      </c>
      <c r="O88" s="30">
        <v>21.3</v>
      </c>
      <c r="P88" s="30">
        <v>62</v>
      </c>
      <c r="Q88" s="30" t="s">
        <v>219</v>
      </c>
      <c r="R88" s="30"/>
      <c r="S88" s="30">
        <v>16.8</v>
      </c>
      <c r="T88" s="30">
        <v>1.881</v>
      </c>
      <c r="U88" s="30">
        <v>1.61</v>
      </c>
      <c r="V88" s="30" t="s">
        <v>44</v>
      </c>
      <c r="W88" s="30"/>
      <c r="X88" s="30"/>
      <c r="Y88" s="30" t="s">
        <v>45</v>
      </c>
      <c r="Z88" s="30">
        <v>0</v>
      </c>
      <c r="AA88" s="30">
        <v>32</v>
      </c>
      <c r="AB88" s="30">
        <v>2.7</v>
      </c>
      <c r="AC88" s="30" t="s">
        <v>40</v>
      </c>
      <c r="AD88" s="30" t="s">
        <v>40</v>
      </c>
      <c r="AE88" s="32" t="s">
        <v>40</v>
      </c>
      <c r="AF88" s="1">
        <f t="shared" si="1"/>
        <v>145.1</v>
      </c>
    </row>
    <row r="89" spans="1:32" ht="15.75" thickBot="1" x14ac:dyDescent="0.3">
      <c r="A89" s="1">
        <v>56</v>
      </c>
      <c r="B89" s="33" t="s">
        <v>220</v>
      </c>
      <c r="C89" s="30">
        <v>2978798</v>
      </c>
      <c r="D89" s="30">
        <v>644208.1</v>
      </c>
      <c r="E89" s="30">
        <v>209.4</v>
      </c>
      <c r="F89" s="30">
        <v>40</v>
      </c>
      <c r="G89" s="47">
        <v>21</v>
      </c>
      <c r="H89" s="30">
        <v>0.73</v>
      </c>
      <c r="I89" s="30" t="s">
        <v>147</v>
      </c>
      <c r="J89" s="30"/>
      <c r="K89" s="30"/>
      <c r="L89" s="30">
        <v>0.5</v>
      </c>
      <c r="M89" s="30" t="s">
        <v>101</v>
      </c>
      <c r="N89" s="30" t="s">
        <v>40</v>
      </c>
      <c r="O89" s="30">
        <v>24.9</v>
      </c>
      <c r="P89" s="30">
        <v>53.1</v>
      </c>
      <c r="Q89" s="30" t="s">
        <v>221</v>
      </c>
      <c r="R89" s="30"/>
      <c r="S89" s="30">
        <v>17.899999999999999</v>
      </c>
      <c r="T89" s="30">
        <v>1.9</v>
      </c>
      <c r="U89" s="30">
        <v>1.6120000000000001</v>
      </c>
      <c r="V89" s="30" t="s">
        <v>44</v>
      </c>
      <c r="W89" s="30"/>
      <c r="X89" s="30"/>
      <c r="Y89" s="30" t="s">
        <v>45</v>
      </c>
      <c r="Z89" s="30">
        <v>0</v>
      </c>
      <c r="AA89" s="30">
        <v>32.5</v>
      </c>
      <c r="AB89" s="30">
        <v>2.7</v>
      </c>
      <c r="AC89" s="30" t="s">
        <v>40</v>
      </c>
      <c r="AD89" s="30" t="s">
        <v>40</v>
      </c>
      <c r="AE89" s="32" t="s">
        <v>40</v>
      </c>
      <c r="AF89" s="1">
        <f t="shared" si="1"/>
        <v>169.4</v>
      </c>
    </row>
    <row r="90" spans="1:32" ht="15.75" thickBot="1" x14ac:dyDescent="0.3">
      <c r="A90" s="1">
        <v>57</v>
      </c>
      <c r="B90" s="33" t="s">
        <v>222</v>
      </c>
      <c r="C90" s="30">
        <v>2979031.4</v>
      </c>
      <c r="D90" s="30">
        <v>643960.9</v>
      </c>
      <c r="E90" s="30">
        <v>187.6</v>
      </c>
      <c r="F90" s="30">
        <v>40</v>
      </c>
      <c r="G90" s="47">
        <v>27.25</v>
      </c>
      <c r="H90" s="30">
        <v>1.05</v>
      </c>
      <c r="I90" s="30">
        <v>10.199999999999999</v>
      </c>
      <c r="J90" s="30"/>
      <c r="K90" s="30"/>
      <c r="L90" s="30">
        <v>0.5</v>
      </c>
      <c r="M90" s="30" t="s">
        <v>223</v>
      </c>
      <c r="N90" s="30" t="s">
        <v>40</v>
      </c>
      <c r="O90" s="30">
        <v>37.9</v>
      </c>
      <c r="P90" s="30">
        <v>49.2</v>
      </c>
      <c r="Q90" s="30" t="s">
        <v>224</v>
      </c>
      <c r="R90" s="30"/>
      <c r="S90" s="30" t="s">
        <v>40</v>
      </c>
      <c r="T90" s="30" t="s">
        <v>40</v>
      </c>
      <c r="U90" s="30" t="s">
        <v>40</v>
      </c>
      <c r="V90" s="30" t="s">
        <v>44</v>
      </c>
      <c r="W90" s="30"/>
      <c r="X90" s="30"/>
      <c r="Y90" s="30" t="s">
        <v>40</v>
      </c>
      <c r="Z90" s="30" t="s">
        <v>40</v>
      </c>
      <c r="AA90" s="30" t="s">
        <v>40</v>
      </c>
      <c r="AB90" s="30">
        <v>2.72</v>
      </c>
      <c r="AC90" s="30" t="s">
        <v>40</v>
      </c>
      <c r="AD90" s="30" t="s">
        <v>40</v>
      </c>
      <c r="AE90" s="32" t="s">
        <v>40</v>
      </c>
      <c r="AF90" s="1">
        <f t="shared" si="1"/>
        <v>147.6</v>
      </c>
    </row>
    <row r="91" spans="1:32" ht="15.75" thickBot="1" x14ac:dyDescent="0.3">
      <c r="A91" s="1">
        <v>58</v>
      </c>
      <c r="B91" s="33" t="s">
        <v>225</v>
      </c>
      <c r="C91" s="30">
        <v>2980166.5</v>
      </c>
      <c r="D91" s="30">
        <v>643066.6</v>
      </c>
      <c r="E91" s="30">
        <v>227.8</v>
      </c>
      <c r="F91" s="30">
        <v>40.1</v>
      </c>
      <c r="G91" s="47">
        <v>6.25</v>
      </c>
      <c r="H91" s="30">
        <v>1.05</v>
      </c>
      <c r="I91" s="30" t="s">
        <v>147</v>
      </c>
      <c r="J91" s="30"/>
      <c r="K91" s="30"/>
      <c r="L91" s="30">
        <v>0.5</v>
      </c>
      <c r="M91" s="30" t="s">
        <v>226</v>
      </c>
      <c r="N91" s="30" t="s">
        <v>40</v>
      </c>
      <c r="O91" s="30">
        <v>36.6</v>
      </c>
      <c r="P91" s="30">
        <v>52.8</v>
      </c>
      <c r="Q91" s="30" t="s">
        <v>227</v>
      </c>
      <c r="R91" s="30"/>
      <c r="S91" s="30" t="s">
        <v>40</v>
      </c>
      <c r="T91" s="30" t="s">
        <v>40</v>
      </c>
      <c r="U91" s="30" t="s">
        <v>40</v>
      </c>
      <c r="V91" s="30" t="s">
        <v>44</v>
      </c>
      <c r="W91" s="30"/>
      <c r="X91" s="30"/>
      <c r="Y91" s="30" t="s">
        <v>40</v>
      </c>
      <c r="Z91" s="30" t="s">
        <v>40</v>
      </c>
      <c r="AA91" s="30" t="s">
        <v>40</v>
      </c>
      <c r="AB91" s="30">
        <v>2.71</v>
      </c>
      <c r="AC91" s="30" t="s">
        <v>40</v>
      </c>
      <c r="AD91" s="30" t="s">
        <v>40</v>
      </c>
      <c r="AE91" s="32" t="s">
        <v>40</v>
      </c>
      <c r="AF91" s="1">
        <f t="shared" si="1"/>
        <v>187.70000000000002</v>
      </c>
    </row>
    <row r="92" spans="1:32" ht="15.75" thickBot="1" x14ac:dyDescent="0.3">
      <c r="A92" s="1">
        <v>59</v>
      </c>
      <c r="B92" s="33" t="s">
        <v>228</v>
      </c>
      <c r="C92" s="30">
        <v>2983521.2</v>
      </c>
      <c r="D92" s="30">
        <v>640846.19999999995</v>
      </c>
      <c r="E92" s="30">
        <v>267</v>
      </c>
      <c r="F92" s="30">
        <v>40</v>
      </c>
      <c r="G92" s="47">
        <v>19.28</v>
      </c>
      <c r="H92" s="30"/>
      <c r="I92" s="30" t="s">
        <v>147</v>
      </c>
      <c r="J92" s="30"/>
      <c r="K92" s="30"/>
      <c r="L92" s="30">
        <v>0.3</v>
      </c>
      <c r="M92" s="30" t="s">
        <v>229</v>
      </c>
      <c r="N92" s="30" t="s">
        <v>40</v>
      </c>
      <c r="O92" s="30">
        <v>42.2</v>
      </c>
      <c r="P92" s="30">
        <v>55.6</v>
      </c>
      <c r="Q92" s="30" t="s">
        <v>230</v>
      </c>
      <c r="R92" s="30"/>
      <c r="S92" s="30" t="s">
        <v>40</v>
      </c>
      <c r="T92" s="30" t="s">
        <v>40</v>
      </c>
      <c r="U92" s="30" t="s">
        <v>40</v>
      </c>
      <c r="V92" s="30" t="s">
        <v>44</v>
      </c>
      <c r="W92" s="30"/>
      <c r="X92" s="30"/>
      <c r="Y92" s="30" t="s">
        <v>40</v>
      </c>
      <c r="Z92" s="30" t="s">
        <v>40</v>
      </c>
      <c r="AA92" s="30" t="s">
        <v>40</v>
      </c>
      <c r="AB92" s="30">
        <v>2.67</v>
      </c>
      <c r="AC92" s="30" t="s">
        <v>40</v>
      </c>
      <c r="AD92" s="30" t="s">
        <v>40</v>
      </c>
      <c r="AE92" s="32" t="s">
        <v>40</v>
      </c>
      <c r="AF92" s="1">
        <f t="shared" si="1"/>
        <v>227</v>
      </c>
    </row>
    <row r="93" spans="1:32" ht="15.75" thickBot="1" x14ac:dyDescent="0.3">
      <c r="A93" s="1">
        <v>60</v>
      </c>
      <c r="B93" s="33" t="s">
        <v>231</v>
      </c>
      <c r="C93" s="30">
        <v>2985446.1</v>
      </c>
      <c r="D93" s="30">
        <v>640301.30000000005</v>
      </c>
      <c r="E93" s="30">
        <v>274.3</v>
      </c>
      <c r="F93" s="30">
        <v>40</v>
      </c>
      <c r="G93" s="47">
        <v>0.8</v>
      </c>
      <c r="H93" s="30"/>
      <c r="I93" s="30" t="s">
        <v>147</v>
      </c>
      <c r="J93" s="30"/>
      <c r="K93" s="30"/>
      <c r="L93" s="30">
        <v>0.5</v>
      </c>
      <c r="M93" s="30" t="s">
        <v>232</v>
      </c>
      <c r="N93" s="30" t="s">
        <v>40</v>
      </c>
      <c r="O93" s="30">
        <v>18.899999999999999</v>
      </c>
      <c r="P93" s="30">
        <v>42.8</v>
      </c>
      <c r="Q93" s="30" t="s">
        <v>233</v>
      </c>
      <c r="R93" s="30"/>
      <c r="S93" s="30">
        <v>21</v>
      </c>
      <c r="T93" s="30">
        <v>1.8720000000000001</v>
      </c>
      <c r="U93" s="30">
        <v>1.5469999999999999</v>
      </c>
      <c r="V93" s="30" t="s">
        <v>44</v>
      </c>
      <c r="W93" s="30"/>
      <c r="X93" s="30"/>
      <c r="Y93" s="30" t="s">
        <v>45</v>
      </c>
      <c r="Z93" s="30">
        <v>0.1</v>
      </c>
      <c r="AA93" s="30">
        <v>31</v>
      </c>
      <c r="AB93" s="30">
        <v>2.68</v>
      </c>
      <c r="AC93" s="30" t="s">
        <v>40</v>
      </c>
      <c r="AD93" s="30" t="s">
        <v>40</v>
      </c>
      <c r="AE93" s="32" t="s">
        <v>40</v>
      </c>
      <c r="AF93" s="1">
        <f t="shared" si="1"/>
        <v>234.3</v>
      </c>
    </row>
    <row r="94" spans="1:32" ht="15.75" thickBot="1" x14ac:dyDescent="0.3">
      <c r="A94" s="1">
        <v>61</v>
      </c>
      <c r="B94" s="1" t="s">
        <v>234</v>
      </c>
      <c r="C94" s="1">
        <v>2985535.3</v>
      </c>
      <c r="D94" s="1">
        <v>640355.30000000005</v>
      </c>
      <c r="E94" s="1">
        <v>245.9</v>
      </c>
      <c r="F94" s="1">
        <v>40</v>
      </c>
      <c r="G94" s="46">
        <v>0.5</v>
      </c>
      <c r="I94" s="1" t="s">
        <v>147</v>
      </c>
      <c r="AF94" s="1">
        <f t="shared" si="1"/>
        <v>205.9</v>
      </c>
    </row>
    <row r="95" spans="1:32" ht="15.75" thickBot="1" x14ac:dyDescent="0.3">
      <c r="A95" s="1">
        <v>62</v>
      </c>
      <c r="B95" s="33" t="s">
        <v>235</v>
      </c>
      <c r="C95" s="30">
        <v>2990192.5</v>
      </c>
      <c r="D95" s="30">
        <v>641471</v>
      </c>
      <c r="E95" s="30">
        <v>249.6</v>
      </c>
      <c r="F95" s="30">
        <v>40</v>
      </c>
      <c r="G95" s="47">
        <v>1.05</v>
      </c>
      <c r="H95" s="30"/>
      <c r="I95" s="30">
        <v>10</v>
      </c>
      <c r="J95" s="30"/>
      <c r="K95" s="30"/>
      <c r="L95" s="30">
        <v>0.5</v>
      </c>
      <c r="M95" s="30" t="s">
        <v>101</v>
      </c>
      <c r="N95" s="30" t="s">
        <v>40</v>
      </c>
      <c r="O95" s="30">
        <v>40.200000000000003</v>
      </c>
      <c r="P95" s="30">
        <v>39.5</v>
      </c>
      <c r="Q95" s="30" t="s">
        <v>236</v>
      </c>
      <c r="R95" s="30"/>
      <c r="S95" s="30" t="s">
        <v>40</v>
      </c>
      <c r="T95" s="30" t="s">
        <v>40</v>
      </c>
      <c r="U95" s="30" t="s">
        <v>40</v>
      </c>
      <c r="V95" s="30" t="s">
        <v>44</v>
      </c>
      <c r="W95" s="30"/>
      <c r="X95" s="30"/>
      <c r="Y95" s="30" t="s">
        <v>40</v>
      </c>
      <c r="Z95" s="30" t="s">
        <v>40</v>
      </c>
      <c r="AA95" s="30" t="s">
        <v>40</v>
      </c>
      <c r="AB95" s="30">
        <v>2.7</v>
      </c>
      <c r="AC95" s="30" t="s">
        <v>40</v>
      </c>
      <c r="AD95" s="30" t="s">
        <v>40</v>
      </c>
      <c r="AE95" s="32" t="s">
        <v>40</v>
      </c>
      <c r="AF95" s="1">
        <f t="shared" si="1"/>
        <v>209.6</v>
      </c>
    </row>
    <row r="96" spans="1:32" ht="15.75" thickBot="1" x14ac:dyDescent="0.3">
      <c r="A96" s="1">
        <v>63</v>
      </c>
      <c r="B96" s="33" t="s">
        <v>237</v>
      </c>
      <c r="C96" s="30">
        <v>2998912</v>
      </c>
      <c r="D96" s="30">
        <v>645682</v>
      </c>
      <c r="E96" s="30">
        <v>308.89999999999998</v>
      </c>
      <c r="F96" s="30">
        <v>40</v>
      </c>
      <c r="G96" s="47">
        <v>1.1000000000000001</v>
      </c>
      <c r="H96" s="30"/>
      <c r="I96" s="30" t="s">
        <v>147</v>
      </c>
      <c r="J96" s="30"/>
      <c r="K96" s="30"/>
      <c r="L96" s="30">
        <v>0.5</v>
      </c>
      <c r="M96" s="30" t="s">
        <v>185</v>
      </c>
      <c r="N96" s="30" t="s">
        <v>40</v>
      </c>
      <c r="O96" s="30">
        <v>37.200000000000003</v>
      </c>
      <c r="P96" s="30">
        <v>48.2</v>
      </c>
      <c r="Q96" s="30" t="s">
        <v>238</v>
      </c>
      <c r="R96" s="30"/>
      <c r="S96" s="30" t="s">
        <v>40</v>
      </c>
      <c r="T96" s="30" t="s">
        <v>40</v>
      </c>
      <c r="U96" s="30" t="s">
        <v>40</v>
      </c>
      <c r="V96" s="30" t="s">
        <v>44</v>
      </c>
      <c r="W96" s="30"/>
      <c r="X96" s="30"/>
      <c r="Y96" s="30" t="s">
        <v>40</v>
      </c>
      <c r="Z96" s="30" t="s">
        <v>40</v>
      </c>
      <c r="AA96" s="30" t="s">
        <v>40</v>
      </c>
      <c r="AB96" s="30">
        <v>2.72</v>
      </c>
      <c r="AC96" s="30" t="s">
        <v>40</v>
      </c>
      <c r="AD96" s="30" t="s">
        <v>40</v>
      </c>
      <c r="AE96" s="32" t="s">
        <v>40</v>
      </c>
      <c r="AF96" s="1">
        <f t="shared" si="1"/>
        <v>268.89999999999998</v>
      </c>
    </row>
    <row r="97" spans="1:32" x14ac:dyDescent="0.25">
      <c r="A97" s="61">
        <v>64</v>
      </c>
      <c r="B97" s="59" t="s">
        <v>239</v>
      </c>
      <c r="C97" s="34">
        <v>2998888.4</v>
      </c>
      <c r="D97" s="34">
        <v>645667.19999999995</v>
      </c>
      <c r="E97" s="34">
        <v>314.60000000000002</v>
      </c>
      <c r="F97" s="34">
        <v>15</v>
      </c>
      <c r="G97" s="44">
        <v>5.04</v>
      </c>
      <c r="H97" s="34">
        <v>3.6</v>
      </c>
      <c r="I97" s="34" t="s">
        <v>147</v>
      </c>
      <c r="J97" s="34"/>
      <c r="K97" s="34"/>
      <c r="L97" s="34">
        <v>0.5</v>
      </c>
      <c r="M97" s="34" t="s">
        <v>240</v>
      </c>
      <c r="N97" s="34" t="s">
        <v>40</v>
      </c>
      <c r="O97" s="34">
        <v>21.4</v>
      </c>
      <c r="P97" s="34">
        <v>33.799999999999997</v>
      </c>
      <c r="Q97" s="34">
        <v>39.799999999999997</v>
      </c>
      <c r="R97" s="34">
        <v>5</v>
      </c>
      <c r="S97" s="34">
        <v>18</v>
      </c>
      <c r="T97" s="34">
        <v>1.9019999999999999</v>
      </c>
      <c r="U97" s="34">
        <v>1.6120000000000001</v>
      </c>
      <c r="V97" s="34" t="s">
        <v>44</v>
      </c>
      <c r="W97" s="34"/>
      <c r="X97" s="34"/>
      <c r="Y97" s="34" t="s">
        <v>45</v>
      </c>
      <c r="Z97" s="34">
        <v>0.1</v>
      </c>
      <c r="AA97" s="34">
        <v>32.5</v>
      </c>
      <c r="AB97" s="34">
        <v>2.7</v>
      </c>
      <c r="AC97" s="34" t="s">
        <v>40</v>
      </c>
      <c r="AD97" s="34" t="s">
        <v>40</v>
      </c>
      <c r="AE97" s="35" t="s">
        <v>40</v>
      </c>
      <c r="AF97" s="1">
        <f t="shared" si="1"/>
        <v>299.60000000000002</v>
      </c>
    </row>
    <row r="98" spans="1:32" ht="15.75" thickBot="1" x14ac:dyDescent="0.3">
      <c r="A98" s="61"/>
      <c r="B98" s="60"/>
      <c r="C98" s="36"/>
      <c r="D98" s="36"/>
      <c r="E98" s="36"/>
      <c r="F98" s="36"/>
      <c r="G98" s="45"/>
      <c r="H98" s="36"/>
      <c r="I98" s="36"/>
      <c r="J98" s="36"/>
      <c r="K98" s="36"/>
      <c r="L98" s="36">
        <v>2.5</v>
      </c>
      <c r="M98" s="36" t="s">
        <v>60</v>
      </c>
      <c r="N98" s="36">
        <v>40</v>
      </c>
      <c r="O98" s="36">
        <v>28.3</v>
      </c>
      <c r="P98" s="36">
        <v>39.4</v>
      </c>
      <c r="Q98" s="36">
        <v>28</v>
      </c>
      <c r="R98" s="36">
        <v>4.3</v>
      </c>
      <c r="S98" s="36">
        <v>16.7</v>
      </c>
      <c r="T98" s="36">
        <v>1.931</v>
      </c>
      <c r="U98" s="36">
        <v>1.655</v>
      </c>
      <c r="V98" s="36" t="s">
        <v>44</v>
      </c>
      <c r="W98" s="36"/>
      <c r="X98" s="36"/>
      <c r="Y98" s="36" t="s">
        <v>45</v>
      </c>
      <c r="Z98" s="36">
        <v>0</v>
      </c>
      <c r="AA98" s="36">
        <v>34</v>
      </c>
      <c r="AB98" s="36">
        <v>2.71</v>
      </c>
      <c r="AC98" s="36" t="s">
        <v>40</v>
      </c>
      <c r="AD98" s="36" t="s">
        <v>40</v>
      </c>
      <c r="AE98" s="37" t="s">
        <v>40</v>
      </c>
      <c r="AF98" s="1">
        <f t="shared" si="1"/>
        <v>0</v>
      </c>
    </row>
    <row r="99" spans="1:32" x14ac:dyDescent="0.25">
      <c r="A99" s="61">
        <v>65</v>
      </c>
      <c r="B99" s="59" t="s">
        <v>241</v>
      </c>
      <c r="C99" s="34">
        <v>3000618</v>
      </c>
      <c r="D99" s="34">
        <v>648218.4</v>
      </c>
      <c r="E99" s="34">
        <v>320.10000000000002</v>
      </c>
      <c r="F99" s="34">
        <v>40</v>
      </c>
      <c r="G99" s="44">
        <v>8</v>
      </c>
      <c r="H99" s="34">
        <v>2.0499999999999998</v>
      </c>
      <c r="I99" s="34" t="s">
        <v>147</v>
      </c>
      <c r="J99" s="34"/>
      <c r="K99" s="34"/>
      <c r="L99" s="34">
        <v>0.5</v>
      </c>
      <c r="M99" s="34" t="s">
        <v>242</v>
      </c>
      <c r="N99" s="34" t="s">
        <v>40</v>
      </c>
      <c r="O99" s="34">
        <v>28.2</v>
      </c>
      <c r="P99" s="34">
        <v>41.8</v>
      </c>
      <c r="Q99" s="34" t="s">
        <v>243</v>
      </c>
      <c r="R99" s="34"/>
      <c r="S99" s="34">
        <v>19</v>
      </c>
      <c r="T99" s="34">
        <v>1.895</v>
      </c>
      <c r="U99" s="34">
        <v>1.5920000000000001</v>
      </c>
      <c r="V99" s="34" t="s">
        <v>44</v>
      </c>
      <c r="W99" s="34"/>
      <c r="X99" s="34"/>
      <c r="Y99" s="34" t="s">
        <v>45</v>
      </c>
      <c r="Z99" s="34">
        <v>0</v>
      </c>
      <c r="AA99" s="34">
        <v>31.5</v>
      </c>
      <c r="AB99" s="34">
        <v>2.68</v>
      </c>
      <c r="AC99" s="34" t="s">
        <v>40</v>
      </c>
      <c r="AD99" s="34" t="s">
        <v>40</v>
      </c>
      <c r="AE99" s="35" t="s">
        <v>40</v>
      </c>
      <c r="AF99" s="1">
        <f t="shared" si="1"/>
        <v>280.10000000000002</v>
      </c>
    </row>
    <row r="100" spans="1:32" ht="15.75" thickBot="1" x14ac:dyDescent="0.3">
      <c r="A100" s="61"/>
      <c r="B100" s="60"/>
      <c r="C100" s="36"/>
      <c r="D100" s="36"/>
      <c r="E100" s="36"/>
      <c r="F100" s="36"/>
      <c r="G100" s="45"/>
      <c r="H100" s="36"/>
      <c r="I100" s="36"/>
      <c r="J100" s="36"/>
      <c r="K100" s="36"/>
      <c r="L100" s="36">
        <v>1</v>
      </c>
      <c r="M100" s="36" t="s">
        <v>244</v>
      </c>
      <c r="N100" s="36">
        <v>21</v>
      </c>
      <c r="O100" s="36">
        <v>26.2</v>
      </c>
      <c r="P100" s="36">
        <v>34</v>
      </c>
      <c r="Q100" s="36">
        <v>36.5</v>
      </c>
      <c r="R100" s="36">
        <v>3.3</v>
      </c>
      <c r="S100" s="36">
        <v>18.8</v>
      </c>
      <c r="T100" s="36">
        <v>1.9179999999999999</v>
      </c>
      <c r="U100" s="36">
        <v>1.6140000000000001</v>
      </c>
      <c r="V100" s="36" t="s">
        <v>44</v>
      </c>
      <c r="W100" s="36"/>
      <c r="X100" s="36"/>
      <c r="Y100" s="36" t="s">
        <v>45</v>
      </c>
      <c r="Z100" s="36">
        <v>0</v>
      </c>
      <c r="AA100" s="36">
        <v>33</v>
      </c>
      <c r="AB100" s="36">
        <v>2.7</v>
      </c>
      <c r="AC100" s="36" t="s">
        <v>40</v>
      </c>
      <c r="AD100" s="36" t="s">
        <v>40</v>
      </c>
      <c r="AE100" s="37" t="s">
        <v>40</v>
      </c>
      <c r="AF100" s="1">
        <f t="shared" si="1"/>
        <v>0</v>
      </c>
    </row>
    <row r="101" spans="1:32" ht="15.75" thickBot="1" x14ac:dyDescent="0.3">
      <c r="A101" s="1">
        <v>66</v>
      </c>
      <c r="B101" s="33" t="s">
        <v>245</v>
      </c>
      <c r="C101" s="30">
        <v>3000597.2</v>
      </c>
      <c r="D101" s="30">
        <v>648215.6</v>
      </c>
      <c r="E101" s="30">
        <v>323.60000000000002</v>
      </c>
      <c r="F101" s="30">
        <v>15</v>
      </c>
      <c r="G101" s="47">
        <v>15</v>
      </c>
      <c r="H101" s="30">
        <v>0.75</v>
      </c>
      <c r="I101" s="30" t="s">
        <v>147</v>
      </c>
      <c r="J101" s="30"/>
      <c r="K101" s="30"/>
      <c r="L101" s="30">
        <v>0.5</v>
      </c>
      <c r="M101" s="30" t="s">
        <v>223</v>
      </c>
      <c r="N101" s="30" t="s">
        <v>40</v>
      </c>
      <c r="O101" s="30">
        <v>35</v>
      </c>
      <c r="P101" s="30">
        <v>53</v>
      </c>
      <c r="Q101" s="30" t="s">
        <v>211</v>
      </c>
      <c r="R101" s="30"/>
      <c r="S101" s="30" t="s">
        <v>40</v>
      </c>
      <c r="T101" s="30" t="s">
        <v>40</v>
      </c>
      <c r="U101" s="30" t="s">
        <v>40</v>
      </c>
      <c r="V101" s="30" t="s">
        <v>44</v>
      </c>
      <c r="W101" s="30"/>
      <c r="X101" s="30"/>
      <c r="Y101" s="30" t="s">
        <v>40</v>
      </c>
      <c r="Z101" s="30" t="s">
        <v>40</v>
      </c>
      <c r="AA101" s="30" t="s">
        <v>40</v>
      </c>
      <c r="AB101" s="30">
        <v>2.71</v>
      </c>
      <c r="AC101" s="30" t="s">
        <v>40</v>
      </c>
      <c r="AD101" s="30" t="s">
        <v>40</v>
      </c>
      <c r="AE101" s="32" t="s">
        <v>40</v>
      </c>
      <c r="AF101" s="1">
        <f t="shared" si="1"/>
        <v>308.60000000000002</v>
      </c>
    </row>
    <row r="102" spans="1:32" ht="15.75" thickBot="1" x14ac:dyDescent="0.3">
      <c r="A102" s="1">
        <v>67</v>
      </c>
      <c r="B102" s="33" t="s">
        <v>246</v>
      </c>
      <c r="C102" s="30">
        <v>2996641.9</v>
      </c>
      <c r="D102" s="30">
        <v>644163.4</v>
      </c>
      <c r="E102" s="30">
        <v>274.7</v>
      </c>
      <c r="F102" s="30">
        <v>15.25</v>
      </c>
      <c r="G102" s="47">
        <v>1.1499999999999999</v>
      </c>
      <c r="H102" s="30"/>
      <c r="I102" s="30" t="s">
        <v>147</v>
      </c>
      <c r="J102" s="30"/>
      <c r="K102" s="30"/>
      <c r="L102" s="30">
        <v>0.5</v>
      </c>
      <c r="M102" s="30" t="s">
        <v>247</v>
      </c>
      <c r="N102" s="30" t="s">
        <v>40</v>
      </c>
      <c r="O102" s="30">
        <v>24.4</v>
      </c>
      <c r="P102" s="30">
        <v>40.1</v>
      </c>
      <c r="Q102" s="30" t="s">
        <v>248</v>
      </c>
      <c r="R102" s="30"/>
      <c r="S102" s="30">
        <v>16.100000000000001</v>
      </c>
      <c r="T102" s="30">
        <v>1.9370000000000001</v>
      </c>
      <c r="U102" s="30">
        <v>1.6679999999999999</v>
      </c>
      <c r="V102" s="30" t="s">
        <v>44</v>
      </c>
      <c r="W102" s="30"/>
      <c r="X102" s="30"/>
      <c r="Y102" s="30" t="s">
        <v>45</v>
      </c>
      <c r="Z102" s="30">
        <v>0</v>
      </c>
      <c r="AA102" s="30">
        <v>34</v>
      </c>
      <c r="AB102" s="30">
        <v>2.7</v>
      </c>
      <c r="AC102" s="30" t="s">
        <v>40</v>
      </c>
      <c r="AD102" s="30" t="s">
        <v>40</v>
      </c>
      <c r="AE102" s="32" t="s">
        <v>40</v>
      </c>
      <c r="AF102" s="1">
        <f t="shared" si="1"/>
        <v>259.45</v>
      </c>
    </row>
    <row r="103" spans="1:32" ht="15.75" thickBot="1" x14ac:dyDescent="0.3">
      <c r="A103" s="1">
        <v>68</v>
      </c>
      <c r="B103" s="33" t="s">
        <v>249</v>
      </c>
      <c r="C103" s="30">
        <v>2996654.4</v>
      </c>
      <c r="D103" s="30">
        <v>644176.80000000005</v>
      </c>
      <c r="E103" s="30">
        <v>264.10000000000002</v>
      </c>
      <c r="F103" s="30">
        <v>15.4</v>
      </c>
      <c r="G103" s="47">
        <v>6.28</v>
      </c>
      <c r="H103" s="30">
        <v>1.03</v>
      </c>
      <c r="I103" s="30" t="s">
        <v>147</v>
      </c>
      <c r="J103" s="30"/>
      <c r="K103" s="30"/>
      <c r="L103" s="30">
        <v>0.5</v>
      </c>
      <c r="M103" s="30" t="s">
        <v>250</v>
      </c>
      <c r="N103" s="30" t="s">
        <v>40</v>
      </c>
      <c r="O103" s="30">
        <v>28.4</v>
      </c>
      <c r="P103" s="30">
        <v>39.799999999999997</v>
      </c>
      <c r="Q103" s="30" t="s">
        <v>251</v>
      </c>
      <c r="R103" s="30"/>
      <c r="S103" s="30">
        <v>17.600000000000001</v>
      </c>
      <c r="T103" s="30">
        <v>1.9139999999999999</v>
      </c>
      <c r="U103" s="30">
        <v>1.6279999999999999</v>
      </c>
      <c r="V103" s="30" t="s">
        <v>44</v>
      </c>
      <c r="W103" s="30"/>
      <c r="X103" s="30"/>
      <c r="Y103" s="30" t="s">
        <v>45</v>
      </c>
      <c r="Z103" s="30">
        <v>0</v>
      </c>
      <c r="AA103" s="30">
        <v>32.5</v>
      </c>
      <c r="AB103" s="30">
        <v>2.7</v>
      </c>
      <c r="AC103" s="30" t="s">
        <v>40</v>
      </c>
      <c r="AD103" s="30" t="s">
        <v>40</v>
      </c>
      <c r="AE103" s="32" t="s">
        <v>40</v>
      </c>
      <c r="AF103" s="1">
        <f t="shared" si="1"/>
        <v>248.70000000000002</v>
      </c>
    </row>
    <row r="104" spans="1:32" x14ac:dyDescent="0.25">
      <c r="A104" s="61">
        <v>69</v>
      </c>
      <c r="B104" s="53" t="s">
        <v>252</v>
      </c>
      <c r="C104" s="34">
        <v>2996666.9</v>
      </c>
      <c r="D104" s="34">
        <v>644190.19999999995</v>
      </c>
      <c r="E104" s="34">
        <v>244.9</v>
      </c>
      <c r="F104" s="34">
        <v>15.3</v>
      </c>
      <c r="G104" s="44">
        <v>4.75</v>
      </c>
      <c r="H104" s="34"/>
      <c r="I104" s="34" t="s">
        <v>147</v>
      </c>
      <c r="J104" s="34"/>
      <c r="K104" s="34"/>
      <c r="L104" s="34">
        <v>0.5</v>
      </c>
      <c r="M104" s="34" t="s">
        <v>253</v>
      </c>
      <c r="N104" s="34" t="s">
        <v>40</v>
      </c>
      <c r="O104" s="34">
        <v>36.799999999999997</v>
      </c>
      <c r="P104" s="34">
        <v>41.5</v>
      </c>
      <c r="Q104" s="34" t="s">
        <v>254</v>
      </c>
      <c r="R104" s="34"/>
      <c r="S104" s="34" t="s">
        <v>40</v>
      </c>
      <c r="T104" s="34" t="s">
        <v>40</v>
      </c>
      <c r="U104" s="34" t="s">
        <v>40</v>
      </c>
      <c r="V104" s="34" t="s">
        <v>44</v>
      </c>
      <c r="W104" s="34"/>
      <c r="X104" s="34"/>
      <c r="Y104" s="34" t="s">
        <v>40</v>
      </c>
      <c r="Z104" s="34" t="s">
        <v>40</v>
      </c>
      <c r="AA104" s="34" t="s">
        <v>40</v>
      </c>
      <c r="AB104" s="34">
        <v>2.72</v>
      </c>
      <c r="AC104" s="34" t="s">
        <v>40</v>
      </c>
      <c r="AD104" s="34" t="s">
        <v>40</v>
      </c>
      <c r="AE104" s="35" t="s">
        <v>40</v>
      </c>
      <c r="AF104" s="1">
        <f t="shared" si="1"/>
        <v>229.6</v>
      </c>
    </row>
    <row r="105" spans="1:32" ht="15.75" thickBot="1" x14ac:dyDescent="0.3">
      <c r="A105" s="61"/>
      <c r="B105" s="48"/>
      <c r="C105" s="36"/>
      <c r="D105" s="36"/>
      <c r="E105" s="36"/>
      <c r="F105" s="36"/>
      <c r="G105" s="45"/>
      <c r="H105" s="36"/>
      <c r="I105" s="36"/>
      <c r="J105" s="36"/>
      <c r="K105" s="36"/>
      <c r="L105" s="36">
        <v>2.5</v>
      </c>
      <c r="M105" s="36" t="s">
        <v>255</v>
      </c>
      <c r="N105" s="36">
        <v>12</v>
      </c>
      <c r="O105" s="36">
        <v>3</v>
      </c>
      <c r="P105" s="36">
        <v>84.4</v>
      </c>
      <c r="Q105" s="36" t="s">
        <v>256</v>
      </c>
      <c r="R105" s="36"/>
      <c r="S105" s="36">
        <v>18.5</v>
      </c>
      <c r="T105" s="36">
        <v>1.857</v>
      </c>
      <c r="U105" s="36">
        <v>1.5669999999999999</v>
      </c>
      <c r="V105" s="36" t="s">
        <v>44</v>
      </c>
      <c r="W105" s="36"/>
      <c r="X105" s="36"/>
      <c r="Y105" s="36" t="s">
        <v>45</v>
      </c>
      <c r="Z105" s="36">
        <v>0</v>
      </c>
      <c r="AA105" s="36">
        <v>31</v>
      </c>
      <c r="AB105" s="36">
        <v>2.65</v>
      </c>
      <c r="AC105" s="36" t="s">
        <v>40</v>
      </c>
      <c r="AD105" s="36" t="s">
        <v>40</v>
      </c>
      <c r="AE105" s="37" t="s">
        <v>40</v>
      </c>
      <c r="AF105" s="1">
        <f t="shared" si="1"/>
        <v>0</v>
      </c>
    </row>
    <row r="106" spans="1:32" ht="15.75" thickBot="1" x14ac:dyDescent="0.3">
      <c r="A106" s="1">
        <v>70</v>
      </c>
      <c r="B106" s="1" t="s">
        <v>257</v>
      </c>
      <c r="C106" s="1">
        <v>2996679.3</v>
      </c>
      <c r="D106" s="1">
        <v>644203.5</v>
      </c>
      <c r="E106" s="1">
        <v>236.8</v>
      </c>
      <c r="F106" s="1">
        <v>15.14</v>
      </c>
      <c r="G106" s="46">
        <v>0.05</v>
      </c>
      <c r="I106" s="1" t="s">
        <v>147</v>
      </c>
      <c r="AF106" s="1">
        <f t="shared" si="1"/>
        <v>221.66000000000003</v>
      </c>
    </row>
    <row r="107" spans="1:32" ht="15.75" thickBot="1" x14ac:dyDescent="0.3">
      <c r="A107" s="1">
        <v>71</v>
      </c>
      <c r="B107" s="33" t="s">
        <v>258</v>
      </c>
      <c r="C107" s="30">
        <v>2996691.8</v>
      </c>
      <c r="D107" s="30">
        <v>644216.9</v>
      </c>
      <c r="E107" s="30">
        <v>244.5</v>
      </c>
      <c r="F107" s="30">
        <v>25.15</v>
      </c>
      <c r="G107" s="47">
        <v>0.85</v>
      </c>
      <c r="H107" s="30"/>
      <c r="I107" s="30" t="s">
        <v>147</v>
      </c>
      <c r="J107" s="30"/>
      <c r="K107" s="30"/>
      <c r="L107" s="30">
        <v>0.5</v>
      </c>
      <c r="M107" s="30"/>
      <c r="N107" s="30" t="s">
        <v>40</v>
      </c>
      <c r="O107" s="30">
        <v>41.9</v>
      </c>
      <c r="P107" s="30">
        <v>49.8</v>
      </c>
      <c r="Q107" s="30" t="s">
        <v>259</v>
      </c>
      <c r="R107" s="30"/>
      <c r="S107" s="30" t="s">
        <v>40</v>
      </c>
      <c r="T107" s="30" t="s">
        <v>40</v>
      </c>
      <c r="U107" s="30" t="s">
        <v>40</v>
      </c>
      <c r="V107" s="30" t="s">
        <v>44</v>
      </c>
      <c r="W107" s="30"/>
      <c r="X107" s="30"/>
      <c r="Y107" s="30" t="s">
        <v>40</v>
      </c>
      <c r="Z107" s="30" t="s">
        <v>40</v>
      </c>
      <c r="AA107" s="30" t="s">
        <v>40</v>
      </c>
      <c r="AB107" s="30">
        <v>2.7</v>
      </c>
      <c r="AC107" s="30" t="s">
        <v>40</v>
      </c>
      <c r="AD107" s="30" t="s">
        <v>40</v>
      </c>
      <c r="AE107" s="32" t="s">
        <v>40</v>
      </c>
      <c r="AF107" s="1">
        <f t="shared" si="1"/>
        <v>219.35</v>
      </c>
    </row>
    <row r="108" spans="1:32" ht="15.75" thickBot="1" x14ac:dyDescent="0.3">
      <c r="A108" s="1">
        <v>72</v>
      </c>
      <c r="B108" s="33" t="s">
        <v>260</v>
      </c>
      <c r="C108" s="30">
        <v>2996704.3</v>
      </c>
      <c r="D108" s="30">
        <v>644230.30000000005</v>
      </c>
      <c r="E108" s="30">
        <v>246.7</v>
      </c>
      <c r="F108" s="30">
        <v>15.25</v>
      </c>
      <c r="G108" s="47">
        <v>4</v>
      </c>
      <c r="H108" s="30">
        <v>1.03</v>
      </c>
      <c r="I108" s="30" t="s">
        <v>147</v>
      </c>
      <c r="J108" s="30"/>
      <c r="K108" s="30"/>
      <c r="L108" s="30">
        <v>0.5</v>
      </c>
      <c r="M108" s="30"/>
      <c r="N108" s="30" t="s">
        <v>40</v>
      </c>
      <c r="O108" s="30">
        <v>25.2</v>
      </c>
      <c r="P108" s="30">
        <v>34.200000000000003</v>
      </c>
      <c r="Q108" s="30" t="s">
        <v>261</v>
      </c>
      <c r="R108" s="30"/>
      <c r="S108" s="30">
        <v>18.3</v>
      </c>
      <c r="T108" s="30">
        <v>1.8759999999999999</v>
      </c>
      <c r="U108" s="30">
        <v>1.5860000000000001</v>
      </c>
      <c r="V108" s="30" t="s">
        <v>44</v>
      </c>
      <c r="W108" s="30"/>
      <c r="X108" s="30"/>
      <c r="Y108" s="30" t="s">
        <v>45</v>
      </c>
      <c r="Z108" s="30">
        <v>0.12</v>
      </c>
      <c r="AA108" s="30">
        <v>31</v>
      </c>
      <c r="AB108" s="30">
        <v>2.68</v>
      </c>
      <c r="AC108" s="30" t="s">
        <v>40</v>
      </c>
      <c r="AD108" s="30" t="s">
        <v>40</v>
      </c>
      <c r="AE108" s="32" t="s">
        <v>40</v>
      </c>
      <c r="AF108" s="1">
        <f t="shared" si="1"/>
        <v>231.45</v>
      </c>
    </row>
    <row r="109" spans="1:32" ht="15.75" thickBot="1" x14ac:dyDescent="0.3">
      <c r="A109" s="1">
        <v>73</v>
      </c>
      <c r="B109" s="33" t="s">
        <v>262</v>
      </c>
      <c r="C109" s="30">
        <v>2997100</v>
      </c>
      <c r="D109" s="30">
        <v>644643.4</v>
      </c>
      <c r="E109" s="30">
        <v>265.10000000000002</v>
      </c>
      <c r="F109" s="30">
        <v>15</v>
      </c>
      <c r="G109" s="47">
        <v>1.05</v>
      </c>
      <c r="H109" s="30"/>
      <c r="I109" s="30" t="s">
        <v>147</v>
      </c>
      <c r="J109" s="30"/>
      <c r="K109" s="30"/>
      <c r="L109" s="30">
        <v>0.5</v>
      </c>
      <c r="M109" s="30" t="s">
        <v>170</v>
      </c>
      <c r="N109" s="30" t="s">
        <v>40</v>
      </c>
      <c r="O109" s="30">
        <v>37.200000000000003</v>
      </c>
      <c r="P109" s="30">
        <v>54.5</v>
      </c>
      <c r="Q109" s="30" t="s">
        <v>259</v>
      </c>
      <c r="R109" s="30"/>
      <c r="S109" s="30" t="s">
        <v>40</v>
      </c>
      <c r="T109" s="30" t="s">
        <v>40</v>
      </c>
      <c r="U109" s="30" t="s">
        <v>40</v>
      </c>
      <c r="V109" s="30" t="s">
        <v>44</v>
      </c>
      <c r="W109" s="30"/>
      <c r="X109" s="30"/>
      <c r="Y109" s="30" t="s">
        <v>40</v>
      </c>
      <c r="Z109" s="30" t="s">
        <v>40</v>
      </c>
      <c r="AA109" s="30" t="s">
        <v>40</v>
      </c>
      <c r="AB109" s="30">
        <v>2.7</v>
      </c>
      <c r="AC109" s="30" t="s">
        <v>40</v>
      </c>
      <c r="AD109" s="30" t="s">
        <v>40</v>
      </c>
      <c r="AE109" s="32" t="s">
        <v>40</v>
      </c>
      <c r="AF109" s="1">
        <f t="shared" si="1"/>
        <v>250.10000000000002</v>
      </c>
    </row>
    <row r="110" spans="1:32" ht="15.75" thickBot="1" x14ac:dyDescent="0.3">
      <c r="A110" s="1">
        <v>74</v>
      </c>
      <c r="B110" s="33" t="s">
        <v>263</v>
      </c>
      <c r="C110" s="30">
        <v>2997108.4</v>
      </c>
      <c r="D110" s="30">
        <v>644663.1</v>
      </c>
      <c r="E110" s="30">
        <v>273.10000000000002</v>
      </c>
      <c r="F110" s="30">
        <v>15</v>
      </c>
      <c r="G110" s="47">
        <v>1.05</v>
      </c>
      <c r="H110" s="30"/>
      <c r="I110" s="30" t="s">
        <v>147</v>
      </c>
      <c r="J110" s="30"/>
      <c r="K110" s="30"/>
      <c r="L110" s="30">
        <v>0.5</v>
      </c>
      <c r="M110" s="30" t="s">
        <v>170</v>
      </c>
      <c r="N110" s="30" t="s">
        <v>40</v>
      </c>
      <c r="O110" s="30">
        <v>40.1</v>
      </c>
      <c r="P110" s="30">
        <v>50.6</v>
      </c>
      <c r="Q110" s="30" t="s">
        <v>264</v>
      </c>
      <c r="R110" s="30"/>
      <c r="S110" s="30" t="s">
        <v>40</v>
      </c>
      <c r="T110" s="30" t="s">
        <v>40</v>
      </c>
      <c r="U110" s="30" t="s">
        <v>40</v>
      </c>
      <c r="V110" s="30" t="s">
        <v>44</v>
      </c>
      <c r="W110" s="30"/>
      <c r="X110" s="30"/>
      <c r="Y110" s="30" t="s">
        <v>40</v>
      </c>
      <c r="Z110" s="30" t="s">
        <v>40</v>
      </c>
      <c r="AA110" s="30" t="s">
        <v>40</v>
      </c>
      <c r="AB110" s="30">
        <v>2.72</v>
      </c>
      <c r="AC110" s="30" t="s">
        <v>40</v>
      </c>
      <c r="AD110" s="30" t="s">
        <v>40</v>
      </c>
      <c r="AE110" s="32" t="s">
        <v>40</v>
      </c>
      <c r="AF110" s="1">
        <f t="shared" si="1"/>
        <v>258.10000000000002</v>
      </c>
    </row>
    <row r="111" spans="1:32" ht="15.75" thickBot="1" x14ac:dyDescent="0.3">
      <c r="A111" s="1">
        <v>75</v>
      </c>
      <c r="B111" s="33" t="s">
        <v>265</v>
      </c>
      <c r="C111" s="30">
        <v>2997122.1</v>
      </c>
      <c r="D111" s="30">
        <v>644677.80000000005</v>
      </c>
      <c r="E111" s="30">
        <v>263.10000000000002</v>
      </c>
      <c r="F111" s="30">
        <v>15</v>
      </c>
      <c r="G111" s="47">
        <v>1.05</v>
      </c>
      <c r="H111" s="30"/>
      <c r="I111" s="30" t="s">
        <v>147</v>
      </c>
      <c r="J111" s="30"/>
      <c r="K111" s="30"/>
      <c r="L111" s="30">
        <v>0.5</v>
      </c>
      <c r="M111" s="30" t="s">
        <v>266</v>
      </c>
      <c r="N111" s="30" t="s">
        <v>40</v>
      </c>
      <c r="O111" s="30">
        <v>28.1</v>
      </c>
      <c r="P111" s="30">
        <v>46.8</v>
      </c>
      <c r="Q111" s="30" t="s">
        <v>267</v>
      </c>
      <c r="R111" s="30"/>
      <c r="S111" s="30">
        <v>16.5</v>
      </c>
      <c r="T111" s="30">
        <v>1.8839999999999999</v>
      </c>
      <c r="U111" s="30">
        <v>1.617</v>
      </c>
      <c r="V111" s="30" t="s">
        <v>44</v>
      </c>
      <c r="W111" s="30"/>
      <c r="X111" s="30"/>
      <c r="Y111" s="30" t="s">
        <v>45</v>
      </c>
      <c r="Z111" s="30">
        <v>0</v>
      </c>
      <c r="AA111" s="30">
        <v>32</v>
      </c>
      <c r="AB111" s="30">
        <v>2.7</v>
      </c>
      <c r="AC111" s="30" t="s">
        <v>40</v>
      </c>
      <c r="AD111" s="30" t="s">
        <v>40</v>
      </c>
      <c r="AE111" s="32" t="s">
        <v>40</v>
      </c>
      <c r="AF111" s="1">
        <f t="shared" si="1"/>
        <v>248.10000000000002</v>
      </c>
    </row>
    <row r="112" spans="1:32" ht="15.75" thickBot="1" x14ac:dyDescent="0.3">
      <c r="A112" s="1">
        <v>76</v>
      </c>
      <c r="B112" s="33" t="s">
        <v>268</v>
      </c>
      <c r="C112" s="30">
        <v>2997149.1</v>
      </c>
      <c r="D112" s="30">
        <v>644679.69999999995</v>
      </c>
      <c r="E112" s="30">
        <v>248.2</v>
      </c>
      <c r="F112" s="30">
        <v>15</v>
      </c>
      <c r="G112" s="47">
        <v>0.74</v>
      </c>
      <c r="H112" s="30"/>
      <c r="I112" s="30" t="s">
        <v>147</v>
      </c>
      <c r="J112" s="30"/>
      <c r="K112" s="30"/>
      <c r="L112" s="30">
        <v>0.5</v>
      </c>
      <c r="M112" s="30" t="s">
        <v>101</v>
      </c>
      <c r="N112" s="30" t="s">
        <v>40</v>
      </c>
      <c r="O112" s="30">
        <v>40.4</v>
      </c>
      <c r="P112" s="30">
        <v>50.3</v>
      </c>
      <c r="Q112" s="30" t="s">
        <v>264</v>
      </c>
      <c r="R112" s="30"/>
      <c r="S112" s="30" t="s">
        <v>40</v>
      </c>
      <c r="T112" s="30" t="s">
        <v>40</v>
      </c>
      <c r="U112" s="30" t="s">
        <v>40</v>
      </c>
      <c r="V112" s="30" t="s">
        <v>44</v>
      </c>
      <c r="W112" s="30"/>
      <c r="X112" s="30"/>
      <c r="Y112" s="30" t="s">
        <v>40</v>
      </c>
      <c r="Z112" s="30" t="s">
        <v>40</v>
      </c>
      <c r="AA112" s="30" t="s">
        <v>40</v>
      </c>
      <c r="AB112" s="30">
        <v>2.71</v>
      </c>
      <c r="AC112" s="30" t="s">
        <v>40</v>
      </c>
      <c r="AD112" s="30" t="s">
        <v>40</v>
      </c>
      <c r="AE112" s="32" t="s">
        <v>40</v>
      </c>
      <c r="AF112" s="1">
        <f t="shared" si="1"/>
        <v>233.2</v>
      </c>
    </row>
    <row r="113" spans="1:32" ht="15.75" thickBot="1" x14ac:dyDescent="0.3">
      <c r="A113" s="1">
        <v>77</v>
      </c>
      <c r="B113" s="33" t="s">
        <v>269</v>
      </c>
      <c r="C113" s="30">
        <v>2997113.8</v>
      </c>
      <c r="D113" s="30">
        <v>644630.1</v>
      </c>
      <c r="E113" s="30">
        <v>252.6</v>
      </c>
      <c r="F113" s="30">
        <v>15.1</v>
      </c>
      <c r="G113" s="47">
        <v>0.82</v>
      </c>
      <c r="H113" s="30"/>
      <c r="I113" s="30" t="s">
        <v>147</v>
      </c>
      <c r="J113" s="30"/>
      <c r="K113" s="30"/>
      <c r="L113" s="30">
        <v>0.5</v>
      </c>
      <c r="M113" s="30" t="s">
        <v>270</v>
      </c>
      <c r="N113" s="30" t="s">
        <v>40</v>
      </c>
      <c r="O113" s="30">
        <v>28.7</v>
      </c>
      <c r="P113" s="30">
        <v>42.4</v>
      </c>
      <c r="Q113" s="30" t="s">
        <v>271</v>
      </c>
      <c r="R113" s="30"/>
      <c r="S113" s="30">
        <v>17.399999999999999</v>
      </c>
      <c r="T113" s="30">
        <v>1.875</v>
      </c>
      <c r="U113" s="30">
        <v>1.597</v>
      </c>
      <c r="V113" s="30" t="s">
        <v>44</v>
      </c>
      <c r="W113" s="30"/>
      <c r="X113" s="30"/>
      <c r="Y113" s="30" t="s">
        <v>45</v>
      </c>
      <c r="Z113" s="30">
        <v>0</v>
      </c>
      <c r="AA113" s="30">
        <v>31.5</v>
      </c>
      <c r="AB113" s="30">
        <v>2.68</v>
      </c>
      <c r="AC113" s="30" t="s">
        <v>40</v>
      </c>
      <c r="AD113" s="30" t="s">
        <v>40</v>
      </c>
      <c r="AE113" s="32" t="s">
        <v>40</v>
      </c>
      <c r="AF113" s="1">
        <f t="shared" si="1"/>
        <v>237.5</v>
      </c>
    </row>
    <row r="114" spans="1:32" ht="15.75" thickBot="1" x14ac:dyDescent="0.3">
      <c r="A114" s="1">
        <v>78</v>
      </c>
      <c r="B114" s="33" t="s">
        <v>272</v>
      </c>
      <c r="C114" s="30">
        <v>2997124.7</v>
      </c>
      <c r="D114" s="30">
        <v>644647.4</v>
      </c>
      <c r="E114" s="30">
        <v>246.5</v>
      </c>
      <c r="F114" s="30">
        <v>20.5</v>
      </c>
      <c r="G114" s="47">
        <v>0.73</v>
      </c>
      <c r="H114" s="30"/>
      <c r="I114" s="30" t="s">
        <v>147</v>
      </c>
      <c r="J114" s="30"/>
      <c r="K114" s="30"/>
      <c r="L114" s="30">
        <v>0.5</v>
      </c>
      <c r="M114" s="30" t="s">
        <v>205</v>
      </c>
      <c r="N114" s="30" t="s">
        <v>40</v>
      </c>
      <c r="O114" s="30">
        <v>37.799999999999997</v>
      </c>
      <c r="P114" s="30">
        <v>48.4</v>
      </c>
      <c r="Q114" s="30" t="s">
        <v>61</v>
      </c>
      <c r="R114" s="30"/>
      <c r="S114" s="30" t="s">
        <v>40</v>
      </c>
      <c r="T114" s="30" t="s">
        <v>40</v>
      </c>
      <c r="U114" s="30" t="s">
        <v>40</v>
      </c>
      <c r="V114" s="30" t="s">
        <v>44</v>
      </c>
      <c r="W114" s="30"/>
      <c r="X114" s="30"/>
      <c r="Y114" s="30" t="s">
        <v>40</v>
      </c>
      <c r="Z114" s="30" t="s">
        <v>40</v>
      </c>
      <c r="AA114" s="30" t="s">
        <v>40</v>
      </c>
      <c r="AB114" s="30">
        <v>2.7</v>
      </c>
      <c r="AC114" s="30" t="s">
        <v>40</v>
      </c>
      <c r="AD114" s="30" t="s">
        <v>40</v>
      </c>
      <c r="AE114" s="32" t="s">
        <v>40</v>
      </c>
      <c r="AF114" s="1">
        <f t="shared" si="1"/>
        <v>226</v>
      </c>
    </row>
    <row r="115" spans="1:32" ht="15.75" thickBot="1" x14ac:dyDescent="0.3">
      <c r="A115" s="1">
        <v>79</v>
      </c>
      <c r="B115" s="33" t="s">
        <v>273</v>
      </c>
      <c r="C115" s="30">
        <v>2997135.6</v>
      </c>
      <c r="D115" s="30">
        <v>644665.19999999995</v>
      </c>
      <c r="E115" s="30">
        <v>247.9</v>
      </c>
      <c r="F115" s="30">
        <v>15.15</v>
      </c>
      <c r="G115" s="47">
        <v>2.5</v>
      </c>
      <c r="H115" s="30">
        <v>1.05</v>
      </c>
      <c r="I115" s="30" t="s">
        <v>147</v>
      </c>
      <c r="J115" s="30"/>
      <c r="K115" s="30"/>
      <c r="L115" s="30">
        <v>0.5</v>
      </c>
      <c r="M115" s="30" t="s">
        <v>205</v>
      </c>
      <c r="N115" s="30" t="s">
        <v>40</v>
      </c>
      <c r="O115" s="30">
        <v>37.200000000000003</v>
      </c>
      <c r="P115" s="30">
        <v>39.9</v>
      </c>
      <c r="Q115" s="30" t="s">
        <v>274</v>
      </c>
      <c r="R115" s="30"/>
      <c r="S115" s="30" t="s">
        <v>40</v>
      </c>
      <c r="T115" s="30" t="s">
        <v>40</v>
      </c>
      <c r="U115" s="30" t="s">
        <v>40</v>
      </c>
      <c r="V115" s="30" t="s">
        <v>44</v>
      </c>
      <c r="W115" s="30"/>
      <c r="X115" s="30"/>
      <c r="Y115" s="30" t="s">
        <v>40</v>
      </c>
      <c r="Z115" s="30" t="s">
        <v>40</v>
      </c>
      <c r="AA115" s="30" t="s">
        <v>40</v>
      </c>
      <c r="AB115" s="30">
        <v>2.71</v>
      </c>
      <c r="AC115" s="30" t="s">
        <v>40</v>
      </c>
      <c r="AD115" s="30" t="s">
        <v>40</v>
      </c>
      <c r="AE115" s="32" t="s">
        <v>40</v>
      </c>
      <c r="AF115" s="1">
        <f t="shared" si="1"/>
        <v>232.75</v>
      </c>
    </row>
    <row r="116" spans="1:32" x14ac:dyDescent="0.25">
      <c r="A116" s="1">
        <v>80</v>
      </c>
      <c r="B116" s="53" t="s">
        <v>275</v>
      </c>
      <c r="C116" s="34">
        <v>2997125.4</v>
      </c>
      <c r="D116" s="34">
        <v>644687.30000000005</v>
      </c>
      <c r="E116" s="34">
        <v>263.60000000000002</v>
      </c>
      <c r="F116" s="34">
        <v>15.25</v>
      </c>
      <c r="G116" s="44">
        <v>11.53</v>
      </c>
      <c r="H116" s="34">
        <v>2.52</v>
      </c>
      <c r="I116" s="34" t="s">
        <v>147</v>
      </c>
      <c r="J116" s="34"/>
      <c r="K116" s="34"/>
      <c r="L116" s="34">
        <v>0.5</v>
      </c>
      <c r="M116" s="34" t="s">
        <v>276</v>
      </c>
      <c r="N116" s="34" t="s">
        <v>40</v>
      </c>
      <c r="O116" s="34">
        <v>29.1</v>
      </c>
      <c r="P116" s="34">
        <v>48.9</v>
      </c>
      <c r="Q116" s="34" t="s">
        <v>221</v>
      </c>
      <c r="R116" s="34"/>
      <c r="S116" s="34">
        <v>15.2</v>
      </c>
      <c r="T116" s="34">
        <v>1.8919999999999999</v>
      </c>
      <c r="U116" s="34">
        <v>1.6419999999999999</v>
      </c>
      <c r="V116" s="34" t="s">
        <v>44</v>
      </c>
      <c r="W116" s="34"/>
      <c r="X116" s="34"/>
      <c r="Y116" s="34" t="s">
        <v>45</v>
      </c>
      <c r="Z116" s="34">
        <v>0</v>
      </c>
      <c r="AA116" s="34">
        <v>31.5</v>
      </c>
      <c r="AB116" s="34">
        <v>2.7</v>
      </c>
      <c r="AC116" s="34" t="s">
        <v>40</v>
      </c>
      <c r="AD116" s="34" t="s">
        <v>40</v>
      </c>
      <c r="AE116" s="35" t="s">
        <v>40</v>
      </c>
      <c r="AF116" s="1">
        <f t="shared" si="1"/>
        <v>248.35000000000002</v>
      </c>
    </row>
    <row r="117" spans="1:32" ht="15.75" thickBot="1" x14ac:dyDescent="0.3">
      <c r="B117" s="48"/>
      <c r="C117" s="36"/>
      <c r="D117" s="36"/>
      <c r="E117" s="36"/>
      <c r="F117" s="36"/>
      <c r="G117" s="36"/>
      <c r="H117" s="36"/>
      <c r="I117" s="36"/>
      <c r="J117" s="36"/>
      <c r="K117" s="36"/>
      <c r="L117" s="36">
        <v>1</v>
      </c>
      <c r="M117" s="36" t="s">
        <v>276</v>
      </c>
      <c r="N117" s="36">
        <v>44</v>
      </c>
      <c r="O117" s="36">
        <v>15.3</v>
      </c>
      <c r="P117" s="36">
        <v>47.2</v>
      </c>
      <c r="Q117" s="36" t="s">
        <v>277</v>
      </c>
      <c r="R117" s="36"/>
      <c r="S117" s="36">
        <v>19.399999999999999</v>
      </c>
      <c r="T117" s="36">
        <v>1.9350000000000001</v>
      </c>
      <c r="U117" s="36">
        <v>1.621</v>
      </c>
      <c r="V117" s="36" t="s">
        <v>44</v>
      </c>
      <c r="W117" s="36"/>
      <c r="X117" s="36"/>
      <c r="Y117" s="36" t="s">
        <v>45</v>
      </c>
      <c r="Z117" s="36">
        <v>0.1</v>
      </c>
      <c r="AA117" s="36">
        <v>33</v>
      </c>
      <c r="AB117" s="36">
        <v>2.68</v>
      </c>
      <c r="AC117" s="36" t="s">
        <v>40</v>
      </c>
      <c r="AD117" s="36" t="s">
        <v>40</v>
      </c>
      <c r="AE117" s="37" t="s">
        <v>40</v>
      </c>
      <c r="AF117" s="1">
        <f t="shared" si="1"/>
        <v>0</v>
      </c>
    </row>
    <row r="118" spans="1:32" ht="15.75" thickBot="1" x14ac:dyDescent="0.3">
      <c r="A118" s="1">
        <v>81</v>
      </c>
      <c r="B118" s="33" t="s">
        <v>278</v>
      </c>
      <c r="C118" s="30">
        <v>2997829.6</v>
      </c>
      <c r="D118" s="30">
        <v>645357.4</v>
      </c>
      <c r="E118" s="30">
        <v>314.60000000000002</v>
      </c>
      <c r="F118" s="30">
        <v>40.450000000000003</v>
      </c>
      <c r="G118" s="47">
        <v>1.04</v>
      </c>
      <c r="H118" s="30"/>
      <c r="I118" s="30" t="s">
        <v>147</v>
      </c>
      <c r="J118" s="30"/>
      <c r="K118" s="30"/>
      <c r="L118" s="30">
        <v>0.5</v>
      </c>
      <c r="M118" s="30" t="s">
        <v>226</v>
      </c>
      <c r="N118" s="30" t="s">
        <v>40</v>
      </c>
      <c r="O118" s="30">
        <v>38.1</v>
      </c>
      <c r="P118" s="30">
        <v>43.4</v>
      </c>
      <c r="Q118" s="30" t="s">
        <v>279</v>
      </c>
      <c r="R118" s="30"/>
      <c r="S118" s="30" t="s">
        <v>40</v>
      </c>
      <c r="T118" s="30" t="s">
        <v>40</v>
      </c>
      <c r="U118" s="30" t="s">
        <v>40</v>
      </c>
      <c r="V118" s="30" t="s">
        <v>44</v>
      </c>
      <c r="W118" s="30"/>
      <c r="X118" s="30"/>
      <c r="Y118" s="30" t="s">
        <v>40</v>
      </c>
      <c r="Z118" s="30" t="s">
        <v>40</v>
      </c>
      <c r="AA118" s="30" t="s">
        <v>40</v>
      </c>
      <c r="AB118" s="30">
        <v>2.71</v>
      </c>
      <c r="AC118" s="30" t="s">
        <v>40</v>
      </c>
      <c r="AD118" s="30" t="s">
        <v>40</v>
      </c>
      <c r="AE118" s="32" t="s">
        <v>40</v>
      </c>
      <c r="AF118" s="1">
        <f t="shared" si="1"/>
        <v>274.15000000000003</v>
      </c>
    </row>
    <row r="119" spans="1:32" ht="15.75" thickBot="1" x14ac:dyDescent="0.3">
      <c r="A119" s="1">
        <v>82</v>
      </c>
      <c r="B119" s="33" t="s">
        <v>280</v>
      </c>
      <c r="C119" s="30">
        <v>3001090.2</v>
      </c>
      <c r="D119" s="30">
        <v>649000.69999999995</v>
      </c>
      <c r="E119" s="30">
        <v>370.7</v>
      </c>
      <c r="F119" s="30">
        <v>41.1</v>
      </c>
      <c r="G119" s="47">
        <v>0.75</v>
      </c>
      <c r="H119" s="30"/>
      <c r="I119" s="30" t="s">
        <v>147</v>
      </c>
      <c r="J119" s="30"/>
      <c r="K119" s="30"/>
      <c r="L119" s="30">
        <v>0.5</v>
      </c>
      <c r="M119" s="30" t="s">
        <v>281</v>
      </c>
      <c r="N119" s="30" t="s">
        <v>40</v>
      </c>
      <c r="O119" s="30">
        <v>40.5</v>
      </c>
      <c r="P119" s="30">
        <v>55.4</v>
      </c>
      <c r="Q119" s="30" t="s">
        <v>282</v>
      </c>
      <c r="R119" s="30"/>
      <c r="S119" s="30" t="s">
        <v>40</v>
      </c>
      <c r="T119" s="30" t="s">
        <v>40</v>
      </c>
      <c r="U119" s="30" t="s">
        <v>40</v>
      </c>
      <c r="V119" s="30" t="s">
        <v>44</v>
      </c>
      <c r="W119" s="30"/>
      <c r="X119" s="30"/>
      <c r="Y119" s="30" t="s">
        <v>40</v>
      </c>
      <c r="Z119" s="30" t="s">
        <v>40</v>
      </c>
      <c r="AA119" s="30" t="s">
        <v>40</v>
      </c>
      <c r="AB119" s="30">
        <v>2.71</v>
      </c>
      <c r="AC119" s="30" t="s">
        <v>40</v>
      </c>
      <c r="AD119" s="30" t="s">
        <v>40</v>
      </c>
      <c r="AE119" s="32" t="s">
        <v>40</v>
      </c>
      <c r="AF119" s="1">
        <f t="shared" si="1"/>
        <v>329.59999999999997</v>
      </c>
    </row>
    <row r="120" spans="1:32" x14ac:dyDescent="0.25">
      <c r="A120" s="1">
        <v>83</v>
      </c>
      <c r="B120" s="59" t="s">
        <v>283</v>
      </c>
      <c r="C120" s="34">
        <v>2990425.1</v>
      </c>
      <c r="D120" s="34">
        <v>641384.5</v>
      </c>
      <c r="E120" s="34">
        <v>316.39999999999998</v>
      </c>
      <c r="F120" s="34">
        <v>73.2</v>
      </c>
      <c r="G120" s="44">
        <v>7.53</v>
      </c>
      <c r="H120" s="34"/>
      <c r="I120" s="34">
        <v>28.5</v>
      </c>
      <c r="J120" s="34"/>
      <c r="K120" s="34"/>
      <c r="L120" s="34">
        <v>0.5</v>
      </c>
      <c r="M120" s="34" t="s">
        <v>284</v>
      </c>
      <c r="N120" s="34" t="s">
        <v>40</v>
      </c>
      <c r="O120" s="34">
        <v>22.2</v>
      </c>
      <c r="P120" s="34">
        <v>38.4</v>
      </c>
      <c r="Q120" s="34">
        <v>32</v>
      </c>
      <c r="R120" s="34">
        <v>7.4</v>
      </c>
      <c r="S120" s="34">
        <v>16</v>
      </c>
      <c r="T120" s="34">
        <v>1.8680000000000001</v>
      </c>
      <c r="U120" s="34">
        <v>1.61</v>
      </c>
      <c r="V120" s="34" t="s">
        <v>285</v>
      </c>
      <c r="W120" s="34">
        <v>20.8</v>
      </c>
      <c r="X120" s="34">
        <v>6.2</v>
      </c>
      <c r="Y120" s="34" t="s">
        <v>45</v>
      </c>
      <c r="Z120" s="34">
        <v>0.13</v>
      </c>
      <c r="AA120" s="34">
        <v>32</v>
      </c>
      <c r="AB120" s="34">
        <v>2.68</v>
      </c>
      <c r="AC120" s="34" t="s">
        <v>40</v>
      </c>
      <c r="AD120" s="34" t="s">
        <v>40</v>
      </c>
      <c r="AE120" s="35" t="s">
        <v>40</v>
      </c>
      <c r="AF120" s="1">
        <f t="shared" si="1"/>
        <v>243.2</v>
      </c>
    </row>
    <row r="121" spans="1:32" x14ac:dyDescent="0.25">
      <c r="B121" s="62"/>
      <c r="C121" s="38"/>
      <c r="D121" s="38"/>
      <c r="E121" s="38"/>
      <c r="F121" s="38"/>
      <c r="G121" s="46"/>
      <c r="H121" s="38"/>
      <c r="I121" s="38"/>
      <c r="J121" s="38"/>
      <c r="K121" s="38"/>
      <c r="L121" s="38">
        <v>3</v>
      </c>
      <c r="M121" s="38" t="s">
        <v>164</v>
      </c>
      <c r="N121" s="38">
        <v>35</v>
      </c>
      <c r="O121" s="38">
        <v>23.3</v>
      </c>
      <c r="P121" s="38">
        <v>40.299999999999997</v>
      </c>
      <c r="Q121" s="38">
        <v>33.9</v>
      </c>
      <c r="R121" s="38">
        <v>2.5</v>
      </c>
      <c r="S121" s="38">
        <v>17.2</v>
      </c>
      <c r="T121" s="38">
        <v>1.95</v>
      </c>
      <c r="U121" s="38">
        <v>1.6639999999999999</v>
      </c>
      <c r="V121" s="38" t="s">
        <v>44</v>
      </c>
      <c r="W121" s="38"/>
      <c r="X121" s="38"/>
      <c r="Y121" s="38" t="s">
        <v>45</v>
      </c>
      <c r="Z121" s="38">
        <v>0</v>
      </c>
      <c r="AA121" s="38">
        <v>34.5</v>
      </c>
      <c r="AB121" s="38">
        <v>2.67</v>
      </c>
      <c r="AC121" s="38" t="s">
        <v>40</v>
      </c>
      <c r="AD121" s="38" t="s">
        <v>40</v>
      </c>
      <c r="AE121" s="40" t="s">
        <v>40</v>
      </c>
      <c r="AF121" s="1">
        <f t="shared" si="1"/>
        <v>0</v>
      </c>
    </row>
    <row r="122" spans="1:32" ht="15.75" thickBot="1" x14ac:dyDescent="0.3">
      <c r="B122" s="60"/>
      <c r="C122" s="36"/>
      <c r="D122" s="36"/>
      <c r="E122" s="36"/>
      <c r="F122" s="36"/>
      <c r="G122" s="45"/>
      <c r="H122" s="36"/>
      <c r="I122" s="36"/>
      <c r="J122" s="36"/>
      <c r="K122" s="36"/>
      <c r="L122" s="36">
        <v>6</v>
      </c>
      <c r="M122" s="36" t="s">
        <v>164</v>
      </c>
      <c r="N122" s="36">
        <v>22</v>
      </c>
      <c r="O122" s="36">
        <v>24.4</v>
      </c>
      <c r="P122" s="36">
        <v>43.9</v>
      </c>
      <c r="Q122" s="36">
        <v>29.7</v>
      </c>
      <c r="R122" s="36">
        <v>2</v>
      </c>
      <c r="S122" s="36">
        <v>17.8</v>
      </c>
      <c r="T122" s="36">
        <v>1.9390000000000001</v>
      </c>
      <c r="U122" s="36">
        <v>1.6459999999999999</v>
      </c>
      <c r="V122" s="36" t="s">
        <v>44</v>
      </c>
      <c r="W122" s="36"/>
      <c r="X122" s="36"/>
      <c r="Y122" s="36" t="s">
        <v>45</v>
      </c>
      <c r="Z122" s="36">
        <v>0</v>
      </c>
      <c r="AA122" s="36">
        <v>34</v>
      </c>
      <c r="AB122" s="36">
        <v>2.67</v>
      </c>
      <c r="AC122" s="36" t="s">
        <v>40</v>
      </c>
      <c r="AD122" s="36" t="s">
        <v>40</v>
      </c>
      <c r="AE122" s="37" t="s">
        <v>40</v>
      </c>
      <c r="AF122" s="1">
        <f t="shared" si="1"/>
        <v>0</v>
      </c>
    </row>
    <row r="123" spans="1:32" ht="15.75" thickBot="1" x14ac:dyDescent="0.3">
      <c r="A123" s="1">
        <v>84</v>
      </c>
      <c r="B123" s="33" t="s">
        <v>286</v>
      </c>
      <c r="C123" s="30">
        <v>2992785.4</v>
      </c>
      <c r="D123" s="30">
        <v>641064.9</v>
      </c>
      <c r="E123" s="30">
        <v>367.4</v>
      </c>
      <c r="F123" s="30">
        <v>130.5</v>
      </c>
      <c r="G123" s="47">
        <v>1.55</v>
      </c>
      <c r="H123" s="30"/>
      <c r="I123" s="30" t="s">
        <v>147</v>
      </c>
      <c r="J123" s="30"/>
      <c r="K123" s="30"/>
      <c r="L123" s="30">
        <v>1</v>
      </c>
      <c r="M123" s="30" t="s">
        <v>43</v>
      </c>
      <c r="N123" s="30" t="s">
        <v>40</v>
      </c>
      <c r="O123" s="30">
        <v>27.2</v>
      </c>
      <c r="P123" s="30">
        <v>37.799999999999997</v>
      </c>
      <c r="Q123" s="30">
        <v>29</v>
      </c>
      <c r="R123" s="30">
        <v>6</v>
      </c>
      <c r="S123" s="30">
        <v>15.8</v>
      </c>
      <c r="T123" s="30">
        <v>1.88</v>
      </c>
      <c r="U123" s="30">
        <v>1.623</v>
      </c>
      <c r="V123" s="30" t="s">
        <v>287</v>
      </c>
      <c r="W123" s="30">
        <v>21</v>
      </c>
      <c r="X123" s="30">
        <v>4.9000000000000004</v>
      </c>
      <c r="Y123" s="30" t="s">
        <v>89</v>
      </c>
      <c r="Z123" s="30">
        <v>0.06</v>
      </c>
      <c r="AA123" s="30">
        <v>32.5</v>
      </c>
      <c r="AB123" s="30">
        <v>2.69</v>
      </c>
      <c r="AC123" s="30" t="s">
        <v>40</v>
      </c>
      <c r="AD123" s="30" t="s">
        <v>40</v>
      </c>
      <c r="AE123" s="32" t="s">
        <v>40</v>
      </c>
      <c r="AF123" s="1">
        <f t="shared" si="1"/>
        <v>236.89999999999998</v>
      </c>
    </row>
    <row r="124" spans="1:32" x14ac:dyDescent="0.25">
      <c r="A124" s="1">
        <v>85</v>
      </c>
      <c r="B124" s="59" t="s">
        <v>288</v>
      </c>
      <c r="C124" s="34">
        <v>2993224</v>
      </c>
      <c r="D124" s="34">
        <v>641188.1</v>
      </c>
      <c r="E124" s="34">
        <v>336.6</v>
      </c>
      <c r="F124" s="34">
        <v>99.8</v>
      </c>
      <c r="G124" s="44">
        <v>3</v>
      </c>
      <c r="H124" s="34"/>
      <c r="I124" s="34">
        <v>40.75</v>
      </c>
      <c r="J124" s="34" t="s">
        <v>289</v>
      </c>
      <c r="K124" s="49">
        <v>1.7999999999999999E-6</v>
      </c>
      <c r="L124" s="34">
        <v>0.5</v>
      </c>
      <c r="M124" s="34" t="s">
        <v>290</v>
      </c>
      <c r="N124" s="34" t="s">
        <v>40</v>
      </c>
      <c r="O124" s="34">
        <v>30.1</v>
      </c>
      <c r="P124" s="34">
        <v>52.7</v>
      </c>
      <c r="Q124" s="34" t="s">
        <v>291</v>
      </c>
      <c r="R124" s="34"/>
      <c r="S124" s="34" t="s">
        <v>40</v>
      </c>
      <c r="T124" s="34" t="s">
        <v>40</v>
      </c>
      <c r="U124" s="34" t="s">
        <v>40</v>
      </c>
      <c r="V124" s="34" t="s">
        <v>44</v>
      </c>
      <c r="W124" s="34"/>
      <c r="X124" s="34"/>
      <c r="Y124" s="34" t="s">
        <v>40</v>
      </c>
      <c r="Z124" s="34" t="s">
        <v>40</v>
      </c>
      <c r="AA124" s="34" t="s">
        <v>40</v>
      </c>
      <c r="AB124" s="34">
        <v>2.7</v>
      </c>
      <c r="AC124" s="34" t="s">
        <v>40</v>
      </c>
      <c r="AD124" s="34" t="s">
        <v>40</v>
      </c>
      <c r="AE124" s="35" t="s">
        <v>40</v>
      </c>
      <c r="AF124" s="1">
        <f t="shared" si="1"/>
        <v>236.8</v>
      </c>
    </row>
    <row r="125" spans="1:32" x14ac:dyDescent="0.25">
      <c r="B125" s="62"/>
      <c r="C125" s="38"/>
      <c r="D125" s="38"/>
      <c r="E125" s="38"/>
      <c r="F125" s="38"/>
      <c r="G125" s="46"/>
      <c r="H125" s="38"/>
      <c r="I125" s="38"/>
      <c r="J125" s="38"/>
      <c r="K125" s="50"/>
      <c r="L125" s="38">
        <v>1</v>
      </c>
      <c r="M125" s="38" t="s">
        <v>43</v>
      </c>
      <c r="N125" s="38" t="s">
        <v>40</v>
      </c>
      <c r="O125" s="38">
        <v>20</v>
      </c>
      <c r="P125" s="38">
        <v>41.9</v>
      </c>
      <c r="Q125" s="38">
        <v>28.8</v>
      </c>
      <c r="R125" s="38">
        <v>9.3000000000000007</v>
      </c>
      <c r="S125" s="38">
        <v>17.399999999999999</v>
      </c>
      <c r="T125" s="38">
        <v>1.859</v>
      </c>
      <c r="U125" s="38">
        <v>1.583</v>
      </c>
      <c r="V125" s="38" t="s">
        <v>292</v>
      </c>
      <c r="W125" s="38">
        <v>20.6</v>
      </c>
      <c r="X125" s="38">
        <v>8.3000000000000007</v>
      </c>
      <c r="Y125" s="38" t="s">
        <v>89</v>
      </c>
      <c r="Z125" s="38">
        <v>0.18</v>
      </c>
      <c r="AA125" s="38">
        <v>31.5</v>
      </c>
      <c r="AB125" s="38">
        <v>2.67</v>
      </c>
      <c r="AC125" s="38" t="s">
        <v>40</v>
      </c>
      <c r="AD125" s="38" t="s">
        <v>40</v>
      </c>
      <c r="AE125" s="40" t="s">
        <v>40</v>
      </c>
      <c r="AF125" s="1">
        <f t="shared" si="1"/>
        <v>0</v>
      </c>
    </row>
    <row r="126" spans="1:32" ht="15.75" thickBot="1" x14ac:dyDescent="0.3">
      <c r="B126" s="60"/>
      <c r="C126" s="36"/>
      <c r="D126" s="36"/>
      <c r="E126" s="36"/>
      <c r="F126" s="36"/>
      <c r="G126" s="45"/>
      <c r="H126" s="36"/>
      <c r="I126" s="36"/>
      <c r="J126" s="36"/>
      <c r="K126" s="51"/>
      <c r="L126" s="36">
        <v>1.5</v>
      </c>
      <c r="M126" s="36" t="s">
        <v>293</v>
      </c>
      <c r="N126" s="36">
        <v>32</v>
      </c>
      <c r="O126" s="36">
        <v>17.2</v>
      </c>
      <c r="P126" s="36">
        <v>47.5</v>
      </c>
      <c r="Q126" s="36">
        <v>32.799999999999997</v>
      </c>
      <c r="R126" s="36">
        <v>2.5</v>
      </c>
      <c r="S126" s="36">
        <v>16</v>
      </c>
      <c r="T126" s="36">
        <v>1.96</v>
      </c>
      <c r="U126" s="36">
        <v>1.69</v>
      </c>
      <c r="V126" s="36" t="s">
        <v>44</v>
      </c>
      <c r="W126" s="36"/>
      <c r="X126" s="36"/>
      <c r="Y126" s="36" t="s">
        <v>45</v>
      </c>
      <c r="Z126" s="36">
        <v>0</v>
      </c>
      <c r="AA126" s="36">
        <v>35</v>
      </c>
      <c r="AB126" s="36">
        <v>2.68</v>
      </c>
      <c r="AC126" s="36" t="s">
        <v>40</v>
      </c>
      <c r="AD126" s="36" t="s">
        <v>40</v>
      </c>
      <c r="AE126" s="37" t="s">
        <v>40</v>
      </c>
      <c r="AF126" s="1">
        <f t="shared" si="1"/>
        <v>0</v>
      </c>
    </row>
    <row r="127" spans="1:32" x14ac:dyDescent="0.25">
      <c r="A127" s="1">
        <v>86</v>
      </c>
      <c r="B127" s="59" t="s">
        <v>294</v>
      </c>
      <c r="C127" s="34">
        <v>2993729</v>
      </c>
      <c r="D127" s="34">
        <v>641934</v>
      </c>
      <c r="E127" s="34">
        <v>400.5</v>
      </c>
      <c r="F127" s="34">
        <v>161</v>
      </c>
      <c r="G127" s="44">
        <v>28</v>
      </c>
      <c r="H127" s="34"/>
      <c r="I127" s="34" t="s">
        <v>147</v>
      </c>
      <c r="J127" s="54" t="s">
        <v>295</v>
      </c>
      <c r="K127" s="49">
        <v>4.5399999999999997E-6</v>
      </c>
      <c r="L127" s="34">
        <v>0.5</v>
      </c>
      <c r="M127" s="34" t="s">
        <v>293</v>
      </c>
      <c r="N127" s="34" t="s">
        <v>40</v>
      </c>
      <c r="O127" s="34">
        <v>20.2</v>
      </c>
      <c r="P127" s="34">
        <v>44.2</v>
      </c>
      <c r="Q127" s="34">
        <v>32.5</v>
      </c>
      <c r="R127" s="34">
        <v>3.1</v>
      </c>
      <c r="S127" s="34">
        <v>15</v>
      </c>
      <c r="T127" s="34">
        <v>1.855</v>
      </c>
      <c r="U127" s="34">
        <v>1.613</v>
      </c>
      <c r="V127" s="34" t="s">
        <v>44</v>
      </c>
      <c r="W127" s="34"/>
      <c r="X127" s="34"/>
      <c r="Y127" s="34" t="s">
        <v>45</v>
      </c>
      <c r="Z127" s="34">
        <v>0.06</v>
      </c>
      <c r="AA127" s="34">
        <v>31</v>
      </c>
      <c r="AB127" s="34">
        <v>2.67</v>
      </c>
      <c r="AC127" s="34" t="s">
        <v>40</v>
      </c>
      <c r="AD127" s="34" t="s">
        <v>40</v>
      </c>
      <c r="AE127" s="35" t="s">
        <v>40</v>
      </c>
      <c r="AF127" s="1">
        <f t="shared" si="1"/>
        <v>239.5</v>
      </c>
    </row>
    <row r="128" spans="1:32" ht="15.75" thickBot="1" x14ac:dyDescent="0.3">
      <c r="B128" s="60"/>
      <c r="C128" s="36"/>
      <c r="D128" s="36"/>
      <c r="E128" s="36"/>
      <c r="F128" s="36"/>
      <c r="G128" s="45"/>
      <c r="H128" s="36"/>
      <c r="I128" s="36"/>
      <c r="J128" s="55"/>
      <c r="K128" s="51"/>
      <c r="L128" s="36">
        <v>1</v>
      </c>
      <c r="M128" s="36" t="s">
        <v>293</v>
      </c>
      <c r="N128" s="36" t="s">
        <v>40</v>
      </c>
      <c r="O128" s="36">
        <v>20</v>
      </c>
      <c r="P128" s="36">
        <v>39.9</v>
      </c>
      <c r="Q128" s="36">
        <v>36.700000000000003</v>
      </c>
      <c r="R128" s="36">
        <v>3.4</v>
      </c>
      <c r="S128" s="36">
        <v>17.100000000000001</v>
      </c>
      <c r="T128" s="36">
        <v>1.8779999999999999</v>
      </c>
      <c r="U128" s="36">
        <v>1.6040000000000001</v>
      </c>
      <c r="V128" s="36" t="s">
        <v>44</v>
      </c>
      <c r="W128" s="36"/>
      <c r="X128" s="36"/>
      <c r="Y128" s="36" t="s">
        <v>89</v>
      </c>
      <c r="Z128" s="36">
        <v>0.1</v>
      </c>
      <c r="AA128" s="36">
        <v>32.5</v>
      </c>
      <c r="AB128" s="36">
        <v>2.68</v>
      </c>
      <c r="AC128" s="36" t="s">
        <v>40</v>
      </c>
      <c r="AD128" s="36" t="s">
        <v>40</v>
      </c>
      <c r="AE128" s="37" t="s">
        <v>40</v>
      </c>
      <c r="AF128" s="1">
        <f t="shared" si="1"/>
        <v>0</v>
      </c>
    </row>
    <row r="129" spans="1:32" x14ac:dyDescent="0.25">
      <c r="A129" s="1">
        <v>87</v>
      </c>
      <c r="B129" s="59" t="s">
        <v>296</v>
      </c>
      <c r="C129" s="34">
        <v>2996386.2</v>
      </c>
      <c r="D129" s="34">
        <v>643944.80000000005</v>
      </c>
      <c r="E129" s="34">
        <v>346</v>
      </c>
      <c r="F129" s="34">
        <v>80.25</v>
      </c>
      <c r="G129" s="44">
        <v>2.25</v>
      </c>
      <c r="H129" s="34">
        <v>1.52</v>
      </c>
      <c r="I129" s="34">
        <v>16.7</v>
      </c>
      <c r="J129" s="34"/>
      <c r="K129" s="34"/>
      <c r="L129" s="34">
        <v>0.5</v>
      </c>
      <c r="M129" s="34" t="s">
        <v>297</v>
      </c>
      <c r="N129" s="34" t="s">
        <v>40</v>
      </c>
      <c r="O129" s="34">
        <v>16.899999999999999</v>
      </c>
      <c r="P129" s="34">
        <v>42.2</v>
      </c>
      <c r="Q129" s="34">
        <v>32.1</v>
      </c>
      <c r="R129" s="34">
        <v>8.8000000000000007</v>
      </c>
      <c r="S129" s="34">
        <v>17.3</v>
      </c>
      <c r="T129" s="34">
        <v>1.8440000000000001</v>
      </c>
      <c r="U129" s="34">
        <v>1.5720000000000001</v>
      </c>
      <c r="V129" s="34" t="s">
        <v>298</v>
      </c>
      <c r="W129" s="34">
        <v>23.3</v>
      </c>
      <c r="X129" s="34">
        <v>9.1999999999999993</v>
      </c>
      <c r="Y129" s="34" t="s">
        <v>45</v>
      </c>
      <c r="Z129" s="34">
        <v>0.16</v>
      </c>
      <c r="AA129" s="34">
        <v>31</v>
      </c>
      <c r="AB129" s="34">
        <v>2.67</v>
      </c>
      <c r="AC129" s="34" t="s">
        <v>40</v>
      </c>
      <c r="AD129" s="34" t="s">
        <v>40</v>
      </c>
      <c r="AE129" s="35" t="s">
        <v>40</v>
      </c>
      <c r="AF129" s="1">
        <f t="shared" si="1"/>
        <v>265.75</v>
      </c>
    </row>
    <row r="130" spans="1:32" ht="15.75" thickBot="1" x14ac:dyDescent="0.3">
      <c r="B130" s="60"/>
      <c r="C130" s="36"/>
      <c r="D130" s="36"/>
      <c r="E130" s="36"/>
      <c r="F130" s="36"/>
      <c r="G130" s="45"/>
      <c r="H130" s="36"/>
      <c r="I130" s="36"/>
      <c r="J130" s="36"/>
      <c r="K130" s="36"/>
      <c r="L130" s="36">
        <v>1</v>
      </c>
      <c r="M130" s="36" t="s">
        <v>185</v>
      </c>
      <c r="N130" s="36" t="s">
        <v>40</v>
      </c>
      <c r="O130" s="36">
        <v>26.7</v>
      </c>
      <c r="P130" s="36">
        <v>46.2</v>
      </c>
      <c r="Q130" s="36" t="s">
        <v>299</v>
      </c>
      <c r="R130" s="36"/>
      <c r="S130" s="36">
        <v>16.600000000000001</v>
      </c>
      <c r="T130" s="36">
        <v>2</v>
      </c>
      <c r="U130" s="36">
        <v>1.7150000000000001</v>
      </c>
      <c r="V130" s="36" t="s">
        <v>44</v>
      </c>
      <c r="W130" s="36"/>
      <c r="X130" s="36"/>
      <c r="Y130" s="36" t="s">
        <v>89</v>
      </c>
      <c r="Z130" s="36">
        <v>0</v>
      </c>
      <c r="AA130" s="36">
        <v>35.5</v>
      </c>
      <c r="AB130" s="36">
        <v>2.7</v>
      </c>
      <c r="AC130" s="36" t="s">
        <v>40</v>
      </c>
      <c r="AD130" s="36" t="s">
        <v>40</v>
      </c>
      <c r="AE130" s="37" t="s">
        <v>40</v>
      </c>
      <c r="AF130" s="1">
        <f t="shared" si="1"/>
        <v>0</v>
      </c>
    </row>
    <row r="131" spans="1:32" ht="15.75" thickBot="1" x14ac:dyDescent="0.3">
      <c r="A131" s="1">
        <v>88</v>
      </c>
      <c r="B131" s="33" t="s">
        <v>300</v>
      </c>
      <c r="C131" s="30">
        <v>3001210.1</v>
      </c>
      <c r="D131" s="30">
        <v>650095.1</v>
      </c>
      <c r="E131" s="30">
        <v>519.29999999999995</v>
      </c>
      <c r="F131" s="30">
        <v>182</v>
      </c>
      <c r="G131" s="47">
        <v>1.25</v>
      </c>
      <c r="H131" s="30"/>
      <c r="I131" s="30">
        <v>22.9</v>
      </c>
      <c r="J131" s="30"/>
      <c r="K131" s="30"/>
      <c r="L131" s="30">
        <v>0.5</v>
      </c>
      <c r="M131" s="30" t="s">
        <v>301</v>
      </c>
      <c r="N131" s="30" t="s">
        <v>40</v>
      </c>
      <c r="O131" s="30">
        <v>34.5</v>
      </c>
      <c r="P131" s="30">
        <v>45.8</v>
      </c>
      <c r="Q131" s="30" t="s">
        <v>302</v>
      </c>
      <c r="R131" s="30"/>
      <c r="S131" s="30" t="s">
        <v>40</v>
      </c>
      <c r="T131" s="30" t="s">
        <v>40</v>
      </c>
      <c r="U131" s="30" t="s">
        <v>40</v>
      </c>
      <c r="V131" s="30" t="s">
        <v>44</v>
      </c>
      <c r="W131" s="30"/>
      <c r="X131" s="30"/>
      <c r="Y131" s="30" t="s">
        <v>40</v>
      </c>
      <c r="Z131" s="30" t="s">
        <v>40</v>
      </c>
      <c r="AA131" s="30" t="s">
        <v>40</v>
      </c>
      <c r="AB131" s="30">
        <v>2.7</v>
      </c>
      <c r="AC131" s="30" t="s">
        <v>40</v>
      </c>
      <c r="AD131" s="30" t="s">
        <v>40</v>
      </c>
      <c r="AE131" s="32" t="s">
        <v>40</v>
      </c>
      <c r="AF131" s="1">
        <f t="shared" si="1"/>
        <v>337.29999999999995</v>
      </c>
    </row>
    <row r="132" spans="1:32" ht="15.75" thickBot="1" x14ac:dyDescent="0.3">
      <c r="A132" s="1">
        <v>89</v>
      </c>
      <c r="B132" s="33" t="s">
        <v>303</v>
      </c>
      <c r="C132" s="30">
        <v>3002496.1</v>
      </c>
      <c r="D132" s="30">
        <v>651421.80000000005</v>
      </c>
      <c r="E132" s="30">
        <v>471.1</v>
      </c>
      <c r="F132" s="30">
        <v>119.1</v>
      </c>
      <c r="G132" s="47">
        <v>1.54</v>
      </c>
      <c r="H132" s="30"/>
      <c r="I132" s="30" t="s">
        <v>147</v>
      </c>
      <c r="J132" s="30"/>
      <c r="K132" s="30"/>
      <c r="L132" s="30">
        <v>1</v>
      </c>
      <c r="M132" s="30" t="s">
        <v>216</v>
      </c>
      <c r="N132" s="30" t="s">
        <v>40</v>
      </c>
      <c r="O132" s="30">
        <v>25</v>
      </c>
      <c r="P132" s="30">
        <v>49.3</v>
      </c>
      <c r="Q132" s="30" t="s">
        <v>304</v>
      </c>
      <c r="R132" s="30"/>
      <c r="S132" s="30">
        <v>17.399999999999999</v>
      </c>
      <c r="T132" s="30">
        <v>1.9490000000000001</v>
      </c>
      <c r="U132" s="30">
        <v>1.66</v>
      </c>
      <c r="V132" s="30" t="s">
        <v>44</v>
      </c>
      <c r="W132" s="30"/>
      <c r="X132" s="30"/>
      <c r="Y132" s="30" t="s">
        <v>89</v>
      </c>
      <c r="Z132" s="30">
        <v>0.1</v>
      </c>
      <c r="AA132" s="30">
        <v>34.5</v>
      </c>
      <c r="AB132" s="30">
        <v>2.67</v>
      </c>
      <c r="AC132" s="30" t="s">
        <v>40</v>
      </c>
      <c r="AD132" s="30" t="s">
        <v>40</v>
      </c>
      <c r="AE132" s="32" t="s">
        <v>40</v>
      </c>
      <c r="AF132" s="1">
        <f t="shared" ref="AF132:AF176" si="2">E132-F132</f>
        <v>352</v>
      </c>
    </row>
    <row r="133" spans="1:32" x14ac:dyDescent="0.25">
      <c r="A133" s="1">
        <v>90</v>
      </c>
      <c r="B133" s="59" t="s">
        <v>305</v>
      </c>
      <c r="C133" s="34">
        <v>3002963.6</v>
      </c>
      <c r="D133" s="34">
        <v>651899.1</v>
      </c>
      <c r="E133" s="34">
        <v>362.3</v>
      </c>
      <c r="F133" s="34">
        <v>40.200000000000003</v>
      </c>
      <c r="G133" s="44">
        <v>3.02</v>
      </c>
      <c r="H133" s="34"/>
      <c r="I133" s="34">
        <v>11.7</v>
      </c>
      <c r="J133" s="34" t="s">
        <v>306</v>
      </c>
      <c r="K133" s="49">
        <v>2.5600000000000001E-6</v>
      </c>
      <c r="L133" s="34">
        <v>0.5</v>
      </c>
      <c r="M133" s="34" t="s">
        <v>307</v>
      </c>
      <c r="N133" s="34" t="s">
        <v>40</v>
      </c>
      <c r="O133" s="34">
        <v>13.2</v>
      </c>
      <c r="P133" s="34">
        <v>42.1</v>
      </c>
      <c r="Q133" s="34">
        <v>35.799999999999997</v>
      </c>
      <c r="R133" s="34">
        <v>8.9</v>
      </c>
      <c r="S133" s="34">
        <v>18.100000000000001</v>
      </c>
      <c r="T133" s="34">
        <v>1.859</v>
      </c>
      <c r="U133" s="34">
        <v>1.5740000000000001</v>
      </c>
      <c r="V133" s="34" t="s">
        <v>308</v>
      </c>
      <c r="W133" s="34">
        <v>23.1</v>
      </c>
      <c r="X133" s="34">
        <v>9.5</v>
      </c>
      <c r="Y133" s="34" t="s">
        <v>45</v>
      </c>
      <c r="Z133" s="34">
        <v>0.18</v>
      </c>
      <c r="AA133" s="34">
        <v>31</v>
      </c>
      <c r="AB133" s="34">
        <v>2.69</v>
      </c>
      <c r="AC133" s="34" t="s">
        <v>40</v>
      </c>
      <c r="AD133" s="34" t="s">
        <v>40</v>
      </c>
      <c r="AE133" s="35" t="s">
        <v>40</v>
      </c>
      <c r="AF133" s="1">
        <f t="shared" si="2"/>
        <v>322.10000000000002</v>
      </c>
    </row>
    <row r="134" spans="1:32" x14ac:dyDescent="0.25">
      <c r="B134" s="62"/>
      <c r="C134" s="38"/>
      <c r="D134" s="38"/>
      <c r="E134" s="38"/>
      <c r="F134" s="38"/>
      <c r="G134" s="46"/>
      <c r="H134" s="38"/>
      <c r="I134" s="38"/>
      <c r="J134" s="38"/>
      <c r="K134" s="50"/>
      <c r="L134" s="38">
        <v>1</v>
      </c>
      <c r="M134" s="38" t="s">
        <v>270</v>
      </c>
      <c r="N134" s="38" t="s">
        <v>40</v>
      </c>
      <c r="O134" s="38">
        <v>21.1</v>
      </c>
      <c r="P134" s="38">
        <v>42</v>
      </c>
      <c r="Q134" s="38">
        <v>36.9</v>
      </c>
      <c r="R134" s="38"/>
      <c r="S134" s="38">
        <v>19.3</v>
      </c>
      <c r="T134" s="38">
        <v>1.9219999999999999</v>
      </c>
      <c r="U134" s="38">
        <v>1.611</v>
      </c>
      <c r="V134" s="38" t="s">
        <v>44</v>
      </c>
      <c r="W134" s="38"/>
      <c r="X134" s="38"/>
      <c r="Y134" s="38" t="s">
        <v>89</v>
      </c>
      <c r="Z134" s="38">
        <v>0</v>
      </c>
      <c r="AA134" s="38">
        <v>33.5</v>
      </c>
      <c r="AB134" s="38">
        <v>2.67</v>
      </c>
      <c r="AC134" s="38" t="s">
        <v>40</v>
      </c>
      <c r="AD134" s="38" t="s">
        <v>40</v>
      </c>
      <c r="AE134" s="40" t="s">
        <v>40</v>
      </c>
      <c r="AF134" s="1">
        <f t="shared" si="2"/>
        <v>0</v>
      </c>
    </row>
    <row r="135" spans="1:32" ht="15.75" thickBot="1" x14ac:dyDescent="0.3">
      <c r="B135" s="60"/>
      <c r="C135" s="36"/>
      <c r="D135" s="36"/>
      <c r="E135" s="36"/>
      <c r="F135" s="36"/>
      <c r="G135" s="45"/>
      <c r="H135" s="36"/>
      <c r="I135" s="36"/>
      <c r="J135" s="36"/>
      <c r="K135" s="51"/>
      <c r="L135" s="36">
        <v>2.5</v>
      </c>
      <c r="M135" s="36" t="s">
        <v>205</v>
      </c>
      <c r="N135" s="36">
        <v>75</v>
      </c>
      <c r="O135" s="36">
        <v>46.2</v>
      </c>
      <c r="P135" s="36">
        <v>35.1</v>
      </c>
      <c r="Q135" s="36" t="s">
        <v>309</v>
      </c>
      <c r="R135" s="36"/>
      <c r="S135" s="36" t="s">
        <v>40</v>
      </c>
      <c r="T135" s="36" t="s">
        <v>40</v>
      </c>
      <c r="U135" s="36" t="s">
        <v>40</v>
      </c>
      <c r="V135" s="36" t="s">
        <v>44</v>
      </c>
      <c r="W135" s="36"/>
      <c r="X135" s="36"/>
      <c r="Y135" s="36" t="s">
        <v>40</v>
      </c>
      <c r="Z135" s="36" t="s">
        <v>40</v>
      </c>
      <c r="AA135" s="36" t="s">
        <v>40</v>
      </c>
      <c r="AB135" s="36">
        <v>2.72</v>
      </c>
      <c r="AC135" s="36" t="s">
        <v>40</v>
      </c>
      <c r="AD135" s="36" t="s">
        <v>40</v>
      </c>
      <c r="AE135" s="37" t="s">
        <v>40</v>
      </c>
      <c r="AF135" s="1">
        <f t="shared" si="2"/>
        <v>0</v>
      </c>
    </row>
    <row r="136" spans="1:32" ht="15.75" thickBot="1" x14ac:dyDescent="0.3">
      <c r="A136" s="1">
        <v>91</v>
      </c>
      <c r="B136" s="33" t="s">
        <v>310</v>
      </c>
      <c r="C136" s="30">
        <v>3004004</v>
      </c>
      <c r="D136" s="30">
        <v>652386.19999999995</v>
      </c>
      <c r="E136" s="30">
        <v>453.8</v>
      </c>
      <c r="F136" s="30">
        <v>88.3</v>
      </c>
      <c r="G136" s="47">
        <v>2.33</v>
      </c>
      <c r="H136" s="30"/>
      <c r="I136" s="30">
        <v>31.8</v>
      </c>
      <c r="J136" s="30"/>
      <c r="K136" s="30"/>
      <c r="L136" s="30">
        <v>1</v>
      </c>
      <c r="M136" s="30" t="s">
        <v>290</v>
      </c>
      <c r="N136" s="30">
        <v>20</v>
      </c>
      <c r="O136" s="30">
        <v>30.5</v>
      </c>
      <c r="P136" s="30">
        <v>40.5</v>
      </c>
      <c r="Q136" s="30" t="s">
        <v>311</v>
      </c>
      <c r="R136" s="30"/>
      <c r="S136" s="30" t="s">
        <v>40</v>
      </c>
      <c r="T136" s="30" t="s">
        <v>40</v>
      </c>
      <c r="U136" s="30" t="s">
        <v>40</v>
      </c>
      <c r="V136" s="30" t="s">
        <v>44</v>
      </c>
      <c r="W136" s="30"/>
      <c r="X136" s="30"/>
      <c r="Y136" s="30" t="s">
        <v>40</v>
      </c>
      <c r="Z136" s="30" t="s">
        <v>40</v>
      </c>
      <c r="AA136" s="30" t="s">
        <v>40</v>
      </c>
      <c r="AB136" s="30">
        <v>2.67</v>
      </c>
      <c r="AC136" s="30" t="s">
        <v>40</v>
      </c>
      <c r="AD136" s="30" t="s">
        <v>40</v>
      </c>
      <c r="AE136" s="32" t="s">
        <v>40</v>
      </c>
      <c r="AF136" s="1">
        <f t="shared" si="2"/>
        <v>365.5</v>
      </c>
    </row>
    <row r="137" spans="1:32" ht="15.75" thickBot="1" x14ac:dyDescent="0.3">
      <c r="A137" s="1">
        <v>92</v>
      </c>
      <c r="B137" s="33" t="s">
        <v>312</v>
      </c>
      <c r="C137" s="30">
        <v>3004391.3</v>
      </c>
      <c r="D137" s="30">
        <v>652484.6</v>
      </c>
      <c r="E137" s="30">
        <v>335.3</v>
      </c>
      <c r="F137" s="30">
        <v>40.200000000000003</v>
      </c>
      <c r="G137" s="47">
        <v>1.54</v>
      </c>
      <c r="H137" s="30"/>
      <c r="I137" s="30">
        <v>11.4</v>
      </c>
      <c r="J137" s="30" t="s">
        <v>313</v>
      </c>
      <c r="K137" s="52">
        <v>1.6199999999999999E-6</v>
      </c>
      <c r="L137" s="30">
        <v>1</v>
      </c>
      <c r="M137" s="30" t="s">
        <v>101</v>
      </c>
      <c r="N137" s="30" t="s">
        <v>40</v>
      </c>
      <c r="O137" s="30">
        <v>27.5</v>
      </c>
      <c r="P137" s="30">
        <v>48.3</v>
      </c>
      <c r="Q137" s="30">
        <v>24.2</v>
      </c>
      <c r="R137" s="30"/>
      <c r="S137" s="30">
        <v>14.7</v>
      </c>
      <c r="T137" s="30">
        <v>1.94</v>
      </c>
      <c r="U137" s="30">
        <v>1.6910000000000001</v>
      </c>
      <c r="V137" s="30" t="s">
        <v>44</v>
      </c>
      <c r="W137" s="30"/>
      <c r="X137" s="30"/>
      <c r="Y137" s="30" t="s">
        <v>89</v>
      </c>
      <c r="Z137" s="30">
        <v>0</v>
      </c>
      <c r="AA137" s="30">
        <v>34</v>
      </c>
      <c r="AB137" s="30">
        <v>2.68</v>
      </c>
      <c r="AC137" s="30" t="s">
        <v>40</v>
      </c>
      <c r="AD137" s="30" t="s">
        <v>40</v>
      </c>
      <c r="AE137" s="32" t="s">
        <v>40</v>
      </c>
      <c r="AF137" s="1">
        <f t="shared" si="2"/>
        <v>295.10000000000002</v>
      </c>
    </row>
    <row r="138" spans="1:32" ht="15.75" thickBot="1" x14ac:dyDescent="0.3">
      <c r="A138" s="1">
        <v>93</v>
      </c>
      <c r="B138" s="33" t="s">
        <v>314</v>
      </c>
      <c r="C138" s="30">
        <v>3004685.1</v>
      </c>
      <c r="D138" s="30">
        <v>652590.4</v>
      </c>
      <c r="E138" s="30">
        <v>496.4</v>
      </c>
      <c r="F138" s="30">
        <v>129.1</v>
      </c>
      <c r="G138" s="47">
        <v>10</v>
      </c>
      <c r="H138" s="30"/>
      <c r="I138" s="30">
        <v>24.5</v>
      </c>
      <c r="J138" s="30"/>
      <c r="K138" s="30"/>
      <c r="L138" s="30">
        <v>0.5</v>
      </c>
      <c r="M138" s="30" t="s">
        <v>315</v>
      </c>
      <c r="N138" s="30" t="s">
        <v>40</v>
      </c>
      <c r="O138" s="30">
        <v>34.5</v>
      </c>
      <c r="P138" s="30">
        <v>48.8</v>
      </c>
      <c r="Q138" s="30" t="s">
        <v>219</v>
      </c>
      <c r="R138" s="30"/>
      <c r="S138" s="30" t="s">
        <v>40</v>
      </c>
      <c r="T138" s="30" t="s">
        <v>40</v>
      </c>
      <c r="U138" s="30" t="s">
        <v>40</v>
      </c>
      <c r="V138" s="30" t="s">
        <v>44</v>
      </c>
      <c r="W138" s="30"/>
      <c r="X138" s="30"/>
      <c r="Y138" s="30" t="s">
        <v>40</v>
      </c>
      <c r="Z138" s="30" t="s">
        <v>40</v>
      </c>
      <c r="AA138" s="30" t="s">
        <v>40</v>
      </c>
      <c r="AB138" s="30">
        <v>2.7</v>
      </c>
      <c r="AC138" s="30" t="s">
        <v>40</v>
      </c>
      <c r="AD138" s="30" t="s">
        <v>40</v>
      </c>
      <c r="AE138" s="32" t="s">
        <v>40</v>
      </c>
      <c r="AF138" s="1">
        <f t="shared" si="2"/>
        <v>367.29999999999995</v>
      </c>
    </row>
    <row r="139" spans="1:32" ht="15.75" thickBot="1" x14ac:dyDescent="0.3">
      <c r="A139" s="1">
        <v>94</v>
      </c>
      <c r="B139" s="33" t="s">
        <v>316</v>
      </c>
      <c r="C139" s="30">
        <v>3006782.9</v>
      </c>
      <c r="D139" s="30">
        <v>652324.9</v>
      </c>
      <c r="E139" s="30">
        <v>430</v>
      </c>
      <c r="F139" s="30">
        <v>39.1</v>
      </c>
      <c r="G139" s="47">
        <v>11.25</v>
      </c>
      <c r="H139" s="30"/>
      <c r="I139" s="30">
        <v>4.42</v>
      </c>
      <c r="J139" s="30"/>
      <c r="K139" s="30"/>
      <c r="L139" s="30">
        <v>1</v>
      </c>
      <c r="M139" s="30" t="s">
        <v>317</v>
      </c>
      <c r="N139" s="30" t="s">
        <v>40</v>
      </c>
      <c r="O139" s="30">
        <v>11.9</v>
      </c>
      <c r="P139" s="30">
        <v>27.2</v>
      </c>
      <c r="Q139" s="30">
        <v>52.8</v>
      </c>
      <c r="R139" s="30">
        <v>8.1</v>
      </c>
      <c r="S139" s="30">
        <v>19.399999999999999</v>
      </c>
      <c r="T139" s="30">
        <v>1.802</v>
      </c>
      <c r="U139" s="30">
        <v>1.5089999999999999</v>
      </c>
      <c r="V139" s="30" t="s">
        <v>318</v>
      </c>
      <c r="W139" s="30">
        <v>23.4</v>
      </c>
      <c r="X139" s="30">
        <v>6.8</v>
      </c>
      <c r="Y139" s="30" t="s">
        <v>89</v>
      </c>
      <c r="Z139" s="30">
        <v>0.15</v>
      </c>
      <c r="AA139" s="30">
        <v>30.5</v>
      </c>
      <c r="AB139" s="30">
        <v>2.66</v>
      </c>
      <c r="AC139" s="30" t="s">
        <v>40</v>
      </c>
      <c r="AD139" s="30" t="s">
        <v>40</v>
      </c>
      <c r="AE139" s="32" t="s">
        <v>40</v>
      </c>
      <c r="AF139" s="1">
        <f t="shared" si="2"/>
        <v>390.9</v>
      </c>
    </row>
    <row r="140" spans="1:32" ht="15.75" thickBot="1" x14ac:dyDescent="0.3">
      <c r="A140" s="1">
        <v>95</v>
      </c>
      <c r="B140" s="33" t="s">
        <v>319</v>
      </c>
      <c r="C140" s="30">
        <v>3007114.4</v>
      </c>
      <c r="D140" s="30">
        <v>651991.6</v>
      </c>
      <c r="E140" s="30">
        <v>310.60000000000002</v>
      </c>
      <c r="F140" s="30">
        <v>50.1</v>
      </c>
      <c r="G140" s="47">
        <v>33.75</v>
      </c>
      <c r="H140" s="30"/>
      <c r="I140" s="30">
        <v>23.85</v>
      </c>
      <c r="J140" s="30"/>
      <c r="K140" s="30"/>
      <c r="L140" s="30">
        <v>0.5</v>
      </c>
      <c r="M140" s="30" t="s">
        <v>320</v>
      </c>
      <c r="N140" s="30" t="s">
        <v>40</v>
      </c>
      <c r="O140" s="30">
        <v>30.6</v>
      </c>
      <c r="P140" s="30">
        <v>65.3</v>
      </c>
      <c r="Q140" s="30" t="s">
        <v>282</v>
      </c>
      <c r="R140" s="30"/>
      <c r="S140" s="30" t="s">
        <v>40</v>
      </c>
      <c r="T140" s="30" t="s">
        <v>40</v>
      </c>
      <c r="U140" s="30" t="s">
        <v>40</v>
      </c>
      <c r="V140" s="30" t="s">
        <v>44</v>
      </c>
      <c r="W140" s="30"/>
      <c r="X140" s="30"/>
      <c r="Y140" s="30" t="s">
        <v>40</v>
      </c>
      <c r="Z140" s="30" t="s">
        <v>40</v>
      </c>
      <c r="AA140" s="30" t="s">
        <v>40</v>
      </c>
      <c r="AB140" s="30">
        <v>2.65</v>
      </c>
      <c r="AC140" s="30" t="s">
        <v>40</v>
      </c>
      <c r="AD140" s="30" t="s">
        <v>40</v>
      </c>
      <c r="AE140" s="32" t="s">
        <v>40</v>
      </c>
      <c r="AF140" s="1">
        <f t="shared" si="2"/>
        <v>260.5</v>
      </c>
    </row>
    <row r="141" spans="1:32" ht="15.75" thickBot="1" x14ac:dyDescent="0.3">
      <c r="A141" s="1">
        <v>96</v>
      </c>
      <c r="B141" s="33" t="s">
        <v>321</v>
      </c>
      <c r="C141" s="30">
        <v>3007341.2</v>
      </c>
      <c r="D141" s="30">
        <v>651763.9</v>
      </c>
      <c r="E141" s="30">
        <v>425</v>
      </c>
      <c r="F141" s="30">
        <v>42.8</v>
      </c>
      <c r="G141" s="47">
        <v>1.1200000000000001</v>
      </c>
      <c r="H141" s="30"/>
      <c r="I141" s="30">
        <v>23.85</v>
      </c>
      <c r="J141" s="30"/>
      <c r="K141" s="30"/>
      <c r="L141" s="30">
        <v>0.5</v>
      </c>
      <c r="M141" s="30" t="s">
        <v>101</v>
      </c>
      <c r="N141" s="30" t="s">
        <v>40</v>
      </c>
      <c r="O141" s="30">
        <v>26.8</v>
      </c>
      <c r="P141" s="30">
        <v>44.8</v>
      </c>
      <c r="Q141" s="30">
        <v>26.1</v>
      </c>
      <c r="R141" s="30">
        <v>2.2999999999999998</v>
      </c>
      <c r="S141" s="30">
        <v>14.4</v>
      </c>
      <c r="T141" s="30">
        <v>1.8460000000000001</v>
      </c>
      <c r="U141" s="30">
        <v>1.6140000000000001</v>
      </c>
      <c r="V141" s="30" t="s">
        <v>44</v>
      </c>
      <c r="W141" s="30"/>
      <c r="X141" s="30"/>
      <c r="Y141" s="30" t="s">
        <v>45</v>
      </c>
      <c r="Z141" s="30">
        <v>0</v>
      </c>
      <c r="AA141" s="30">
        <v>31</v>
      </c>
      <c r="AB141" s="30">
        <v>2.67</v>
      </c>
      <c r="AC141" s="30" t="s">
        <v>40</v>
      </c>
      <c r="AD141" s="30" t="s">
        <v>40</v>
      </c>
      <c r="AE141" s="32" t="s">
        <v>40</v>
      </c>
      <c r="AF141" s="1">
        <f t="shared" si="2"/>
        <v>382.2</v>
      </c>
    </row>
    <row r="142" spans="1:32" x14ac:dyDescent="0.25">
      <c r="A142" s="1">
        <v>97</v>
      </c>
      <c r="B142" s="1" t="s">
        <v>322</v>
      </c>
      <c r="C142" s="1">
        <v>2995364</v>
      </c>
      <c r="D142" s="1">
        <v>643172</v>
      </c>
      <c r="E142" s="1">
        <v>800.7</v>
      </c>
      <c r="F142" s="1">
        <v>541.75</v>
      </c>
      <c r="G142" s="1">
        <v>17.45</v>
      </c>
      <c r="H142" s="1">
        <v>0.55000000000000004</v>
      </c>
      <c r="I142" s="1" t="s">
        <v>147</v>
      </c>
      <c r="AF142" s="1">
        <f t="shared" si="2"/>
        <v>258.95000000000005</v>
      </c>
    </row>
    <row r="143" spans="1:32" ht="15.75" thickBot="1" x14ac:dyDescent="0.3">
      <c r="A143" s="1">
        <v>98</v>
      </c>
      <c r="B143" s="1" t="s">
        <v>323</v>
      </c>
      <c r="C143" s="1">
        <v>2998335.9</v>
      </c>
      <c r="D143" s="1">
        <v>645901.9</v>
      </c>
      <c r="E143" s="1">
        <v>618.5</v>
      </c>
      <c r="F143" s="1">
        <v>336.3</v>
      </c>
      <c r="G143" s="1">
        <v>3</v>
      </c>
      <c r="H143" s="1">
        <v>1.1000000000000001</v>
      </c>
      <c r="I143" s="1" t="s">
        <v>147</v>
      </c>
      <c r="AF143" s="1">
        <f t="shared" si="2"/>
        <v>282.2</v>
      </c>
    </row>
    <row r="144" spans="1:32" ht="15.75" thickBot="1" x14ac:dyDescent="0.3">
      <c r="A144" s="1">
        <v>99</v>
      </c>
      <c r="B144" s="33" t="s">
        <v>324</v>
      </c>
      <c r="C144" s="30">
        <v>3000159.8</v>
      </c>
      <c r="D144" s="30">
        <v>648452.6</v>
      </c>
      <c r="E144" s="30">
        <v>520.6</v>
      </c>
      <c r="F144" s="30">
        <v>202.5</v>
      </c>
      <c r="G144" s="30">
        <v>9.75</v>
      </c>
      <c r="H144" s="30"/>
      <c r="I144" s="30">
        <v>23</v>
      </c>
      <c r="J144" s="30" t="s">
        <v>325</v>
      </c>
      <c r="K144" s="52">
        <v>7.8400000000000003E-7</v>
      </c>
      <c r="L144" s="30">
        <v>1</v>
      </c>
      <c r="M144" s="30" t="s">
        <v>326</v>
      </c>
      <c r="N144" s="30" t="s">
        <v>40</v>
      </c>
      <c r="O144" s="30">
        <v>26.9</v>
      </c>
      <c r="P144" s="30">
        <v>44.5</v>
      </c>
      <c r="Q144" s="30">
        <v>25.8</v>
      </c>
      <c r="R144" s="30">
        <v>2.8</v>
      </c>
      <c r="S144" s="30">
        <v>16.2</v>
      </c>
      <c r="T144" s="30">
        <v>1.9690000000000001</v>
      </c>
      <c r="U144" s="30">
        <v>1.694</v>
      </c>
      <c r="V144" s="30" t="s">
        <v>44</v>
      </c>
      <c r="W144" s="30"/>
      <c r="X144" s="30"/>
      <c r="Y144" s="30" t="s">
        <v>89</v>
      </c>
      <c r="Z144" s="30">
        <v>0.05</v>
      </c>
      <c r="AA144" s="30">
        <v>34</v>
      </c>
      <c r="AB144" s="30">
        <v>2.67</v>
      </c>
      <c r="AC144" s="30" t="s">
        <v>40</v>
      </c>
      <c r="AD144" s="30" t="s">
        <v>40</v>
      </c>
      <c r="AE144" s="32" t="s">
        <v>40</v>
      </c>
      <c r="AF144" s="1">
        <f t="shared" si="2"/>
        <v>318.10000000000002</v>
      </c>
    </row>
    <row r="145" spans="1:32" ht="15.75" thickBot="1" x14ac:dyDescent="0.3">
      <c r="A145" s="1">
        <v>100</v>
      </c>
      <c r="B145" s="33" t="s">
        <v>327</v>
      </c>
      <c r="C145" s="30">
        <v>3003361.6</v>
      </c>
      <c r="D145" s="30">
        <v>652282.5</v>
      </c>
      <c r="E145" s="30">
        <v>596</v>
      </c>
      <c r="F145" s="30">
        <v>238.5</v>
      </c>
      <c r="G145" s="30">
        <v>1.06</v>
      </c>
      <c r="H145" s="30"/>
      <c r="I145" s="30" t="s">
        <v>147</v>
      </c>
      <c r="J145" s="30"/>
      <c r="K145" s="30"/>
      <c r="L145" s="30">
        <v>0.5</v>
      </c>
      <c r="M145" s="30" t="s">
        <v>328</v>
      </c>
      <c r="N145" s="30" t="s">
        <v>40</v>
      </c>
      <c r="O145" s="30">
        <v>40.6</v>
      </c>
      <c r="P145" s="30">
        <v>47.2</v>
      </c>
      <c r="Q145" s="30" t="s">
        <v>329</v>
      </c>
      <c r="R145" s="30"/>
      <c r="S145" s="30" t="s">
        <v>40</v>
      </c>
      <c r="T145" s="30" t="s">
        <v>40</v>
      </c>
      <c r="U145" s="30" t="s">
        <v>40</v>
      </c>
      <c r="V145" s="30" t="s">
        <v>44</v>
      </c>
      <c r="W145" s="30"/>
      <c r="X145" s="30"/>
      <c r="Y145" s="30" t="s">
        <v>40</v>
      </c>
      <c r="Z145" s="30" t="s">
        <v>40</v>
      </c>
      <c r="AA145" s="30" t="s">
        <v>40</v>
      </c>
      <c r="AB145" s="30">
        <v>2.7</v>
      </c>
      <c r="AC145" s="30" t="s">
        <v>40</v>
      </c>
      <c r="AD145" s="30" t="s">
        <v>40</v>
      </c>
      <c r="AE145" s="32" t="s">
        <v>40</v>
      </c>
      <c r="AF145" s="1">
        <f t="shared" si="2"/>
        <v>357.5</v>
      </c>
    </row>
    <row r="146" spans="1:32" ht="15.75" thickBot="1" x14ac:dyDescent="0.3">
      <c r="A146" s="1">
        <v>101</v>
      </c>
      <c r="B146" s="33" t="s">
        <v>330</v>
      </c>
      <c r="C146" s="30">
        <v>3007828.9</v>
      </c>
      <c r="D146" s="30">
        <v>651203.19999999995</v>
      </c>
      <c r="E146" s="30">
        <v>593.5</v>
      </c>
      <c r="F146" s="30">
        <v>197.7</v>
      </c>
      <c r="G146" s="30">
        <v>30.5</v>
      </c>
      <c r="H146" s="30"/>
      <c r="I146" s="30" t="s">
        <v>147</v>
      </c>
      <c r="J146" s="30"/>
      <c r="K146" s="30"/>
      <c r="L146" s="30">
        <v>0.5</v>
      </c>
      <c r="M146" s="30" t="s">
        <v>57</v>
      </c>
      <c r="N146" s="30" t="s">
        <v>40</v>
      </c>
      <c r="O146" s="30">
        <v>34</v>
      </c>
      <c r="P146" s="30">
        <v>52.6</v>
      </c>
      <c r="Q146" s="30" t="s">
        <v>331</v>
      </c>
      <c r="R146" s="30"/>
      <c r="S146" s="30" t="s">
        <v>40</v>
      </c>
      <c r="T146" s="30" t="s">
        <v>40</v>
      </c>
      <c r="U146" s="30" t="s">
        <v>40</v>
      </c>
      <c r="V146" s="30" t="s">
        <v>44</v>
      </c>
      <c r="W146" s="30"/>
      <c r="X146" s="30"/>
      <c r="Y146" s="30" t="s">
        <v>40</v>
      </c>
      <c r="Z146" s="30" t="s">
        <v>40</v>
      </c>
      <c r="AA146" s="30" t="s">
        <v>40</v>
      </c>
      <c r="AB146" s="30">
        <v>2.7</v>
      </c>
      <c r="AC146" s="30" t="s">
        <v>40</v>
      </c>
      <c r="AD146" s="30" t="s">
        <v>40</v>
      </c>
      <c r="AE146" s="32" t="s">
        <v>40</v>
      </c>
      <c r="AF146" s="1">
        <f t="shared" si="2"/>
        <v>395.8</v>
      </c>
    </row>
    <row r="147" spans="1:32" ht="15.75" thickBot="1" x14ac:dyDescent="0.3">
      <c r="A147" s="1">
        <v>102</v>
      </c>
      <c r="B147" s="33" t="s">
        <v>332</v>
      </c>
      <c r="C147" s="30">
        <v>3008071</v>
      </c>
      <c r="D147" s="30">
        <v>649877.69999999995</v>
      </c>
      <c r="E147" s="30">
        <v>412.8</v>
      </c>
      <c r="F147" s="30">
        <v>15</v>
      </c>
      <c r="G147" s="30">
        <v>2.54</v>
      </c>
      <c r="H147" s="30">
        <v>1.05</v>
      </c>
      <c r="I147" s="30" t="s">
        <v>147</v>
      </c>
      <c r="J147" s="30"/>
      <c r="K147" s="30"/>
      <c r="L147" s="30">
        <v>0</v>
      </c>
      <c r="M147" s="30" t="s">
        <v>333</v>
      </c>
      <c r="N147" s="30" t="s">
        <v>40</v>
      </c>
      <c r="O147" s="30">
        <v>37.5</v>
      </c>
      <c r="P147" s="30">
        <v>55.8</v>
      </c>
      <c r="Q147" s="30" t="s">
        <v>334</v>
      </c>
      <c r="R147" s="30"/>
      <c r="S147" s="30" t="s">
        <v>40</v>
      </c>
      <c r="T147" s="30" t="s">
        <v>40</v>
      </c>
      <c r="U147" s="30" t="s">
        <v>40</v>
      </c>
      <c r="V147" s="30" t="s">
        <v>44</v>
      </c>
      <c r="W147" s="30"/>
      <c r="X147" s="30"/>
      <c r="Y147" s="30" t="s">
        <v>40</v>
      </c>
      <c r="Z147" s="30" t="s">
        <v>40</v>
      </c>
      <c r="AA147" s="30" t="s">
        <v>40</v>
      </c>
      <c r="AB147" s="30">
        <v>2.71</v>
      </c>
      <c r="AC147" s="30" t="s">
        <v>40</v>
      </c>
      <c r="AD147" s="30" t="s">
        <v>40</v>
      </c>
      <c r="AE147" s="32" t="s">
        <v>40</v>
      </c>
      <c r="AF147" s="1">
        <f t="shared" si="2"/>
        <v>397.8</v>
      </c>
    </row>
    <row r="148" spans="1:32" ht="15.75" thickBot="1" x14ac:dyDescent="0.3">
      <c r="A148" s="1">
        <v>103</v>
      </c>
      <c r="B148" s="33" t="s">
        <v>335</v>
      </c>
      <c r="C148" s="30">
        <v>3008126.5</v>
      </c>
      <c r="D148" s="30">
        <v>649575</v>
      </c>
      <c r="E148" s="30">
        <v>429.5</v>
      </c>
      <c r="F148" s="30">
        <v>25.5</v>
      </c>
      <c r="G148" s="30">
        <v>25.5</v>
      </c>
      <c r="H148" s="30">
        <v>1.1000000000000001</v>
      </c>
      <c r="I148" s="30" t="s">
        <v>147</v>
      </c>
      <c r="J148" s="30"/>
      <c r="K148" s="30"/>
      <c r="L148" s="30">
        <v>0</v>
      </c>
      <c r="M148" s="30" t="s">
        <v>216</v>
      </c>
      <c r="N148" s="30" t="s">
        <v>40</v>
      </c>
      <c r="O148" s="30">
        <v>29.5</v>
      </c>
      <c r="P148" s="30">
        <v>39.5</v>
      </c>
      <c r="Q148" s="30" t="s">
        <v>336</v>
      </c>
      <c r="R148" s="30"/>
      <c r="S148" s="30">
        <v>18.100000000000001</v>
      </c>
      <c r="T148" s="30">
        <v>1.9350000000000001</v>
      </c>
      <c r="U148" s="30">
        <v>1.6379999999999999</v>
      </c>
      <c r="V148" s="30" t="s">
        <v>44</v>
      </c>
      <c r="W148" s="30"/>
      <c r="X148" s="30"/>
      <c r="Y148" s="30" t="s">
        <v>45</v>
      </c>
      <c r="Z148" s="30">
        <v>0</v>
      </c>
      <c r="AA148" s="30">
        <v>33.5</v>
      </c>
      <c r="AB148" s="30">
        <v>2.7</v>
      </c>
      <c r="AC148" s="30" t="s">
        <v>40</v>
      </c>
      <c r="AD148" s="30" t="s">
        <v>40</v>
      </c>
      <c r="AE148" s="32" t="s">
        <v>40</v>
      </c>
      <c r="AF148" s="1">
        <f t="shared" si="2"/>
        <v>404</v>
      </c>
    </row>
    <row r="149" spans="1:32" ht="15.75" thickBot="1" x14ac:dyDescent="0.3">
      <c r="A149" s="1">
        <v>104</v>
      </c>
      <c r="B149" s="1" t="s">
        <v>337</v>
      </c>
      <c r="C149" s="1">
        <v>3008146.4</v>
      </c>
      <c r="D149" s="1">
        <v>649377.80000000005</v>
      </c>
      <c r="E149" s="1">
        <v>416.8</v>
      </c>
      <c r="F149" s="1">
        <v>37.25</v>
      </c>
      <c r="G149" s="1">
        <v>0.44</v>
      </c>
      <c r="I149" s="1" t="s">
        <v>147</v>
      </c>
      <c r="AF149" s="1">
        <f t="shared" si="2"/>
        <v>379.55</v>
      </c>
    </row>
    <row r="150" spans="1:32" x14ac:dyDescent="0.25">
      <c r="A150" s="1">
        <v>105</v>
      </c>
      <c r="B150" s="59" t="s">
        <v>338</v>
      </c>
      <c r="C150" s="34">
        <v>3008142.5</v>
      </c>
      <c r="D150" s="34">
        <v>649228.5</v>
      </c>
      <c r="E150" s="34">
        <v>416.7</v>
      </c>
      <c r="F150" s="34">
        <v>14</v>
      </c>
      <c r="G150" s="34">
        <v>5.54</v>
      </c>
      <c r="H150" s="34">
        <v>1.5</v>
      </c>
      <c r="I150" s="34" t="s">
        <v>147</v>
      </c>
      <c r="J150" s="34"/>
      <c r="K150" s="34"/>
      <c r="L150" s="34">
        <v>1</v>
      </c>
      <c r="M150" s="34" t="s">
        <v>339</v>
      </c>
      <c r="N150" s="34" t="s">
        <v>40</v>
      </c>
      <c r="O150" s="34">
        <v>9.1999999999999993</v>
      </c>
      <c r="P150" s="34">
        <v>45.7</v>
      </c>
      <c r="Q150" s="34">
        <v>38.299999999999997</v>
      </c>
      <c r="R150" s="34">
        <v>6.8</v>
      </c>
      <c r="S150" s="34">
        <v>25.4</v>
      </c>
      <c r="T150" s="34">
        <v>1.8779999999999999</v>
      </c>
      <c r="U150" s="34">
        <v>1.498</v>
      </c>
      <c r="V150" s="34" t="s">
        <v>340</v>
      </c>
      <c r="W150" s="34">
        <v>23.3</v>
      </c>
      <c r="X150" s="34">
        <v>5.2</v>
      </c>
      <c r="Y150" s="34" t="s">
        <v>89</v>
      </c>
      <c r="Z150" s="34">
        <v>0.1</v>
      </c>
      <c r="AA150" s="34">
        <v>31.5</v>
      </c>
      <c r="AB150" s="34">
        <v>2.68</v>
      </c>
      <c r="AC150" s="34" t="s">
        <v>40</v>
      </c>
      <c r="AD150" s="34" t="s">
        <v>40</v>
      </c>
      <c r="AE150" s="35" t="s">
        <v>40</v>
      </c>
      <c r="AF150" s="1">
        <f t="shared" si="2"/>
        <v>402.7</v>
      </c>
    </row>
    <row r="151" spans="1:32" x14ac:dyDescent="0.25">
      <c r="B151" s="62"/>
      <c r="C151" s="38"/>
      <c r="D151" s="38"/>
      <c r="E151" s="38"/>
      <c r="F151" s="38"/>
      <c r="G151" s="38"/>
      <c r="H151" s="38"/>
      <c r="I151" s="38"/>
      <c r="J151" s="38"/>
      <c r="K151" s="38"/>
      <c r="L151" s="38">
        <v>1.5</v>
      </c>
      <c r="M151" s="38" t="s">
        <v>341</v>
      </c>
      <c r="N151" s="38">
        <v>19</v>
      </c>
      <c r="O151" s="38">
        <v>21.5</v>
      </c>
      <c r="P151" s="38">
        <v>63</v>
      </c>
      <c r="Q151" s="38" t="s">
        <v>180</v>
      </c>
      <c r="R151" s="38"/>
      <c r="S151" s="38">
        <v>19.2</v>
      </c>
      <c r="T151" s="38">
        <v>1.919</v>
      </c>
      <c r="U151" s="38">
        <v>1.61</v>
      </c>
      <c r="V151" s="38" t="s">
        <v>44</v>
      </c>
      <c r="W151" s="38"/>
      <c r="X151" s="38"/>
      <c r="Y151" s="38" t="s">
        <v>45</v>
      </c>
      <c r="Z151" s="38">
        <v>0</v>
      </c>
      <c r="AA151" s="38">
        <v>32.5</v>
      </c>
      <c r="AB151" s="38">
        <v>2.7</v>
      </c>
      <c r="AC151" s="38" t="s">
        <v>40</v>
      </c>
      <c r="AD151" s="38" t="s">
        <v>40</v>
      </c>
      <c r="AE151" s="40" t="s">
        <v>40</v>
      </c>
      <c r="AF151" s="1">
        <f t="shared" si="2"/>
        <v>0</v>
      </c>
    </row>
    <row r="152" spans="1:32" ht="15.75" thickBot="1" x14ac:dyDescent="0.3">
      <c r="B152" s="60"/>
      <c r="C152" s="36"/>
      <c r="D152" s="36"/>
      <c r="E152" s="36"/>
      <c r="F152" s="36"/>
      <c r="G152" s="36"/>
      <c r="H152" s="36"/>
      <c r="I152" s="36"/>
      <c r="J152" s="36"/>
      <c r="K152" s="36"/>
      <c r="L152" s="36">
        <v>4.5</v>
      </c>
      <c r="M152" s="36" t="s">
        <v>342</v>
      </c>
      <c r="N152" s="36">
        <v>37</v>
      </c>
      <c r="O152" s="36">
        <v>32.299999999999997</v>
      </c>
      <c r="P152" s="36">
        <v>50.5</v>
      </c>
      <c r="Q152" s="36" t="s">
        <v>291</v>
      </c>
      <c r="R152" s="36"/>
      <c r="S152" s="36" t="s">
        <v>40</v>
      </c>
      <c r="T152" s="36" t="s">
        <v>40</v>
      </c>
      <c r="U152" s="36" t="s">
        <v>40</v>
      </c>
      <c r="V152" s="36" t="s">
        <v>44</v>
      </c>
      <c r="W152" s="36"/>
      <c r="X152" s="36"/>
      <c r="Y152" s="36" t="s">
        <v>40</v>
      </c>
      <c r="Z152" s="36" t="s">
        <v>40</v>
      </c>
      <c r="AA152" s="36" t="s">
        <v>40</v>
      </c>
      <c r="AB152" s="36">
        <v>2.72</v>
      </c>
      <c r="AC152" s="36" t="s">
        <v>40</v>
      </c>
      <c r="AD152" s="36" t="s">
        <v>40</v>
      </c>
      <c r="AE152" s="37" t="s">
        <v>40</v>
      </c>
      <c r="AF152" s="1">
        <f t="shared" si="2"/>
        <v>0</v>
      </c>
    </row>
    <row r="153" spans="1:32" x14ac:dyDescent="0.25">
      <c r="A153" s="1">
        <v>106</v>
      </c>
      <c r="B153" s="59" t="s">
        <v>343</v>
      </c>
      <c r="C153" s="34">
        <v>3008177.8</v>
      </c>
      <c r="D153" s="34">
        <v>649244.30000000005</v>
      </c>
      <c r="E153" s="34">
        <v>434.8</v>
      </c>
      <c r="F153" s="34">
        <v>29</v>
      </c>
      <c r="G153" s="34">
        <v>4.04</v>
      </c>
      <c r="H153" s="34"/>
      <c r="I153" s="34" t="s">
        <v>147</v>
      </c>
      <c r="J153" s="34"/>
      <c r="K153" s="34"/>
      <c r="L153" s="34">
        <v>0.5</v>
      </c>
      <c r="M153" s="34" t="s">
        <v>307</v>
      </c>
      <c r="N153" s="34" t="s">
        <v>40</v>
      </c>
      <c r="O153" s="34">
        <v>13.5</v>
      </c>
      <c r="P153" s="34">
        <v>37.700000000000003</v>
      </c>
      <c r="Q153" s="34">
        <v>40.6</v>
      </c>
      <c r="R153" s="34">
        <v>8.1999999999999993</v>
      </c>
      <c r="S153" s="34">
        <v>17.5</v>
      </c>
      <c r="T153" s="34">
        <v>1.855</v>
      </c>
      <c r="U153" s="34">
        <v>1.579</v>
      </c>
      <c r="V153" s="34" t="s">
        <v>344</v>
      </c>
      <c r="W153" s="34">
        <v>22.4</v>
      </c>
      <c r="X153" s="34">
        <v>7.6</v>
      </c>
      <c r="Y153" s="34" t="s">
        <v>45</v>
      </c>
      <c r="Z153" s="34">
        <v>0.15</v>
      </c>
      <c r="AA153" s="34">
        <v>30.5</v>
      </c>
      <c r="AB153" s="34">
        <v>2.67</v>
      </c>
      <c r="AC153" s="34" t="s">
        <v>40</v>
      </c>
      <c r="AD153" s="34" t="s">
        <v>40</v>
      </c>
      <c r="AE153" s="35" t="s">
        <v>40</v>
      </c>
      <c r="AF153" s="1">
        <f t="shared" si="2"/>
        <v>405.8</v>
      </c>
    </row>
    <row r="154" spans="1:32" x14ac:dyDescent="0.25">
      <c r="B154" s="62"/>
      <c r="C154" s="38"/>
      <c r="D154" s="38"/>
      <c r="E154" s="38"/>
      <c r="F154" s="38"/>
      <c r="G154" s="38"/>
      <c r="H154" s="38"/>
      <c r="I154" s="38"/>
      <c r="J154" s="38"/>
      <c r="K154" s="38"/>
      <c r="L154" s="38">
        <v>1</v>
      </c>
      <c r="M154" s="38" t="s">
        <v>307</v>
      </c>
      <c r="N154" s="38">
        <v>30</v>
      </c>
      <c r="O154" s="38">
        <v>20</v>
      </c>
      <c r="P154" s="38">
        <v>36.9</v>
      </c>
      <c r="Q154" s="38">
        <v>35.200000000000003</v>
      </c>
      <c r="R154" s="38">
        <v>7.9</v>
      </c>
      <c r="S154" s="38">
        <v>19.8</v>
      </c>
      <c r="T154" s="38">
        <v>1.907</v>
      </c>
      <c r="U154" s="38">
        <v>1.5920000000000001</v>
      </c>
      <c r="V154" s="38" t="s">
        <v>285</v>
      </c>
      <c r="W154" s="38">
        <v>22</v>
      </c>
      <c r="X154" s="38">
        <v>5</v>
      </c>
      <c r="Y154" s="38" t="s">
        <v>45</v>
      </c>
      <c r="Z154" s="38">
        <v>0.12</v>
      </c>
      <c r="AA154" s="38">
        <v>32</v>
      </c>
      <c r="AB154" s="38">
        <v>2.7</v>
      </c>
      <c r="AC154" s="38" t="s">
        <v>40</v>
      </c>
      <c r="AD154" s="38" t="s">
        <v>40</v>
      </c>
      <c r="AE154" s="40" t="s">
        <v>40</v>
      </c>
      <c r="AF154" s="1">
        <f t="shared" si="2"/>
        <v>0</v>
      </c>
    </row>
    <row r="155" spans="1:32" ht="15.75" thickBot="1" x14ac:dyDescent="0.3">
      <c r="B155" s="60"/>
      <c r="C155" s="36"/>
      <c r="D155" s="36"/>
      <c r="E155" s="36"/>
      <c r="F155" s="36"/>
      <c r="G155" s="36"/>
      <c r="H155" s="36"/>
      <c r="I155" s="36"/>
      <c r="J155" s="36"/>
      <c r="K155" s="36"/>
      <c r="L155" s="36">
        <v>2.5</v>
      </c>
      <c r="M155" s="36" t="s">
        <v>158</v>
      </c>
      <c r="N155" s="36">
        <v>36</v>
      </c>
      <c r="O155" s="36">
        <v>33.5</v>
      </c>
      <c r="P155" s="36">
        <v>55.5</v>
      </c>
      <c r="Q155" s="36" t="s">
        <v>58</v>
      </c>
      <c r="R155" s="36"/>
      <c r="S155" s="36" t="s">
        <v>40</v>
      </c>
      <c r="T155" s="36" t="s">
        <v>40</v>
      </c>
      <c r="U155" s="36" t="s">
        <v>40</v>
      </c>
      <c r="V155" s="36" t="s">
        <v>44</v>
      </c>
      <c r="W155" s="36"/>
      <c r="X155" s="36"/>
      <c r="Y155" s="36" t="s">
        <v>40</v>
      </c>
      <c r="Z155" s="36" t="s">
        <v>40</v>
      </c>
      <c r="AA155" s="36" t="s">
        <v>40</v>
      </c>
      <c r="AB155" s="36">
        <v>2.72</v>
      </c>
      <c r="AC155" s="36" t="s">
        <v>40</v>
      </c>
      <c r="AD155" s="36" t="s">
        <v>40</v>
      </c>
      <c r="AE155" s="37" t="s">
        <v>40</v>
      </c>
      <c r="AF155" s="1">
        <f t="shared" si="2"/>
        <v>0</v>
      </c>
    </row>
    <row r="156" spans="1:32" ht="15.75" thickBot="1" x14ac:dyDescent="0.3">
      <c r="A156" s="1">
        <v>107</v>
      </c>
      <c r="B156" s="33" t="s">
        <v>345</v>
      </c>
      <c r="C156" s="30">
        <v>2996817.5</v>
      </c>
      <c r="D156" s="30">
        <v>644351.30000000005</v>
      </c>
      <c r="E156" s="30">
        <v>273.8</v>
      </c>
      <c r="F156" s="30">
        <v>40.200000000000003</v>
      </c>
      <c r="G156" s="30">
        <v>1.02</v>
      </c>
      <c r="H156" s="30"/>
      <c r="I156" s="30" t="s">
        <v>147</v>
      </c>
      <c r="J156" s="30"/>
      <c r="K156" s="30"/>
      <c r="L156" s="30">
        <v>0.5</v>
      </c>
      <c r="M156" s="30" t="s">
        <v>101</v>
      </c>
      <c r="N156" s="30" t="s">
        <v>40</v>
      </c>
      <c r="O156" s="30">
        <v>39.9</v>
      </c>
      <c r="P156" s="30">
        <v>45.9</v>
      </c>
      <c r="Q156" s="30" t="s">
        <v>150</v>
      </c>
      <c r="R156" s="30"/>
      <c r="S156" s="30" t="s">
        <v>40</v>
      </c>
      <c r="T156" s="30" t="s">
        <v>40</v>
      </c>
      <c r="U156" s="30" t="s">
        <v>40</v>
      </c>
      <c r="V156" s="30" t="s">
        <v>44</v>
      </c>
      <c r="W156" s="30"/>
      <c r="X156" s="30"/>
      <c r="Y156" s="30" t="s">
        <v>40</v>
      </c>
      <c r="Z156" s="30" t="s">
        <v>40</v>
      </c>
      <c r="AA156" s="30" t="s">
        <v>40</v>
      </c>
      <c r="AB156" s="30">
        <v>2.72</v>
      </c>
      <c r="AC156" s="30" t="s">
        <v>40</v>
      </c>
      <c r="AD156" s="30" t="s">
        <v>40</v>
      </c>
      <c r="AE156" s="32" t="s">
        <v>40</v>
      </c>
      <c r="AF156" s="1">
        <f t="shared" si="2"/>
        <v>233.60000000000002</v>
      </c>
    </row>
    <row r="157" spans="1:32" x14ac:dyDescent="0.25">
      <c r="A157" s="1">
        <v>108</v>
      </c>
      <c r="B157" s="59" t="s">
        <v>346</v>
      </c>
      <c r="C157" s="34">
        <v>2997604.8</v>
      </c>
      <c r="D157" s="34">
        <v>645192.80000000005</v>
      </c>
      <c r="E157" s="34">
        <v>342.1</v>
      </c>
      <c r="F157" s="34">
        <v>71.099999999999994</v>
      </c>
      <c r="G157" s="34">
        <v>3.72</v>
      </c>
      <c r="H157" s="34"/>
      <c r="I157" s="34">
        <v>18</v>
      </c>
      <c r="J157" s="34"/>
      <c r="K157" s="34"/>
      <c r="L157" s="34">
        <v>0.5</v>
      </c>
      <c r="M157" s="34" t="s">
        <v>347</v>
      </c>
      <c r="N157" s="34" t="s">
        <v>40</v>
      </c>
      <c r="O157" s="34">
        <v>33.799999999999997</v>
      </c>
      <c r="P157" s="34">
        <v>61.9</v>
      </c>
      <c r="Q157" s="34" t="s">
        <v>348</v>
      </c>
      <c r="R157" s="34"/>
      <c r="S157" s="34" t="s">
        <v>40</v>
      </c>
      <c r="T157" s="34" t="s">
        <v>40</v>
      </c>
      <c r="U157" s="34" t="s">
        <v>40</v>
      </c>
      <c r="V157" s="34" t="s">
        <v>44</v>
      </c>
      <c r="W157" s="34"/>
      <c r="X157" s="34"/>
      <c r="Y157" s="34" t="s">
        <v>40</v>
      </c>
      <c r="Z157" s="34" t="s">
        <v>40</v>
      </c>
      <c r="AA157" s="34" t="s">
        <v>40</v>
      </c>
      <c r="AB157" s="34">
        <v>2.68</v>
      </c>
      <c r="AC157" s="34" t="s">
        <v>40</v>
      </c>
      <c r="AD157" s="34" t="s">
        <v>40</v>
      </c>
      <c r="AE157" s="35" t="s">
        <v>40</v>
      </c>
      <c r="AF157" s="1">
        <f t="shared" si="2"/>
        <v>271</v>
      </c>
    </row>
    <row r="158" spans="1:32" x14ac:dyDescent="0.25">
      <c r="B158" s="62"/>
      <c r="C158" s="38"/>
      <c r="D158" s="38"/>
      <c r="E158" s="38"/>
      <c r="F158" s="38"/>
      <c r="G158" s="38"/>
      <c r="H158" s="38"/>
      <c r="I158" s="38"/>
      <c r="J158" s="38"/>
      <c r="K158" s="38"/>
      <c r="L158" s="38">
        <v>1.7</v>
      </c>
      <c r="M158" s="38" t="s">
        <v>349</v>
      </c>
      <c r="N158" s="38">
        <v>13</v>
      </c>
      <c r="O158" s="38">
        <v>26.2</v>
      </c>
      <c r="P158" s="38">
        <v>58.1</v>
      </c>
      <c r="Q158" s="38" t="s">
        <v>350</v>
      </c>
      <c r="R158" s="38"/>
      <c r="S158" s="38">
        <v>15.8</v>
      </c>
      <c r="T158" s="38">
        <v>1.9219999999999999</v>
      </c>
      <c r="U158" s="38">
        <v>1.66</v>
      </c>
      <c r="V158" s="38" t="s">
        <v>44</v>
      </c>
      <c r="W158" s="38"/>
      <c r="X158" s="38"/>
      <c r="Y158" s="38" t="s">
        <v>45</v>
      </c>
      <c r="Z158" s="38">
        <v>0</v>
      </c>
      <c r="AA158" s="38">
        <v>33.5</v>
      </c>
      <c r="AB158" s="38">
        <v>2.7</v>
      </c>
      <c r="AC158" s="38" t="s">
        <v>40</v>
      </c>
      <c r="AD158" s="38" t="s">
        <v>40</v>
      </c>
      <c r="AE158" s="40" t="s">
        <v>40</v>
      </c>
      <c r="AF158" s="1">
        <f t="shared" si="2"/>
        <v>0</v>
      </c>
    </row>
    <row r="159" spans="1:32" ht="15.75" thickBot="1" x14ac:dyDescent="0.3">
      <c r="B159" s="60"/>
      <c r="C159" s="36"/>
      <c r="D159" s="36"/>
      <c r="E159" s="36"/>
      <c r="F159" s="36"/>
      <c r="G159" s="36"/>
      <c r="H159" s="36"/>
      <c r="I159" s="36"/>
      <c r="J159" s="36"/>
      <c r="K159" s="36"/>
      <c r="L159" s="36">
        <v>3</v>
      </c>
      <c r="M159" s="36" t="s">
        <v>205</v>
      </c>
      <c r="N159" s="36">
        <v>38</v>
      </c>
      <c r="O159" s="36">
        <v>29</v>
      </c>
      <c r="P159" s="36">
        <v>45</v>
      </c>
      <c r="Q159" s="36" t="s">
        <v>351</v>
      </c>
      <c r="R159" s="36"/>
      <c r="S159" s="36">
        <v>16.2</v>
      </c>
      <c r="T159" s="36">
        <v>2.0009999999999999</v>
      </c>
      <c r="U159" s="36">
        <v>1.722</v>
      </c>
      <c r="V159" s="36" t="s">
        <v>44</v>
      </c>
      <c r="W159" s="36"/>
      <c r="X159" s="36"/>
      <c r="Y159" s="36" t="s">
        <v>45</v>
      </c>
      <c r="Z159" s="36">
        <v>0</v>
      </c>
      <c r="AA159" s="36">
        <v>35</v>
      </c>
      <c r="AB159" s="36">
        <v>2.72</v>
      </c>
      <c r="AC159" s="36" t="s">
        <v>40</v>
      </c>
      <c r="AD159" s="36" t="s">
        <v>40</v>
      </c>
      <c r="AE159" s="37" t="s">
        <v>40</v>
      </c>
      <c r="AF159" s="1">
        <f t="shared" si="2"/>
        <v>0</v>
      </c>
    </row>
    <row r="160" spans="1:32" x14ac:dyDescent="0.25">
      <c r="A160" s="1">
        <v>109</v>
      </c>
      <c r="B160" s="59" t="s">
        <v>352</v>
      </c>
      <c r="C160" s="34">
        <v>3000995.1</v>
      </c>
      <c r="D160" s="34">
        <v>648948.5</v>
      </c>
      <c r="E160" s="34">
        <v>375.4</v>
      </c>
      <c r="F160" s="34">
        <v>47.3</v>
      </c>
      <c r="G160" s="34">
        <v>2.59</v>
      </c>
      <c r="H160" s="34"/>
      <c r="I160" s="34">
        <v>18.75</v>
      </c>
      <c r="J160" s="34"/>
      <c r="K160" s="34"/>
      <c r="L160" s="34">
        <v>1</v>
      </c>
      <c r="M160" s="34" t="s">
        <v>353</v>
      </c>
      <c r="N160" s="34" t="s">
        <v>40</v>
      </c>
      <c r="O160" s="34">
        <v>22.5</v>
      </c>
      <c r="P160" s="34">
        <v>54.8</v>
      </c>
      <c r="Q160" s="34">
        <v>19.5</v>
      </c>
      <c r="R160" s="34">
        <v>3.2</v>
      </c>
      <c r="S160" s="34">
        <v>14.8</v>
      </c>
      <c r="T160" s="34">
        <v>1.875</v>
      </c>
      <c r="U160" s="34">
        <v>1.633</v>
      </c>
      <c r="V160" s="34" t="s">
        <v>44</v>
      </c>
      <c r="W160" s="34"/>
      <c r="X160" s="34"/>
      <c r="Y160" s="34" t="s">
        <v>89</v>
      </c>
      <c r="Z160" s="34">
        <v>0.1</v>
      </c>
      <c r="AA160" s="34">
        <v>32</v>
      </c>
      <c r="AB160" s="34">
        <v>2.68</v>
      </c>
      <c r="AC160" s="34" t="s">
        <v>40</v>
      </c>
      <c r="AD160" s="34" t="s">
        <v>40</v>
      </c>
      <c r="AE160" s="35" t="s">
        <v>40</v>
      </c>
      <c r="AF160" s="1">
        <f t="shared" si="2"/>
        <v>328.09999999999997</v>
      </c>
    </row>
    <row r="161" spans="1:32" ht="15.75" thickBot="1" x14ac:dyDescent="0.3">
      <c r="B161" s="60"/>
      <c r="C161" s="36"/>
      <c r="D161" s="36"/>
      <c r="E161" s="36"/>
      <c r="F161" s="36"/>
      <c r="G161" s="36"/>
      <c r="H161" s="36"/>
      <c r="I161" s="36"/>
      <c r="J161" s="36"/>
      <c r="K161" s="36"/>
      <c r="L161" s="36">
        <v>1.5</v>
      </c>
      <c r="M161" s="36" t="s">
        <v>353</v>
      </c>
      <c r="N161" s="36">
        <v>24</v>
      </c>
      <c r="O161" s="36">
        <v>33.4</v>
      </c>
      <c r="P161" s="36">
        <v>35.1</v>
      </c>
      <c r="Q161" s="36">
        <v>28.5</v>
      </c>
      <c r="R161" s="36">
        <v>3</v>
      </c>
      <c r="S161" s="36" t="s">
        <v>40</v>
      </c>
      <c r="T161" s="36" t="s">
        <v>40</v>
      </c>
      <c r="U161" s="36" t="s">
        <v>40</v>
      </c>
      <c r="V161" s="36" t="s">
        <v>44</v>
      </c>
      <c r="W161" s="36"/>
      <c r="X161" s="36"/>
      <c r="Y161" s="36" t="s">
        <v>40</v>
      </c>
      <c r="Z161" s="36" t="s">
        <v>40</v>
      </c>
      <c r="AA161" s="36" t="s">
        <v>40</v>
      </c>
      <c r="AB161" s="36">
        <v>2.7</v>
      </c>
      <c r="AC161" s="36" t="s">
        <v>40</v>
      </c>
      <c r="AD161" s="36" t="s">
        <v>40</v>
      </c>
      <c r="AE161" s="37" t="s">
        <v>40</v>
      </c>
      <c r="AF161" s="1">
        <f t="shared" si="2"/>
        <v>0</v>
      </c>
    </row>
    <row r="162" spans="1:32" ht="15.75" thickBot="1" x14ac:dyDescent="0.3">
      <c r="A162" s="1">
        <v>110</v>
      </c>
      <c r="B162" s="33" t="s">
        <v>354</v>
      </c>
      <c r="C162" s="30">
        <v>3001136.1</v>
      </c>
      <c r="D162" s="30">
        <v>649470.9</v>
      </c>
      <c r="E162" s="30">
        <v>391.5</v>
      </c>
      <c r="F162" s="30">
        <v>59.2</v>
      </c>
      <c r="G162" s="30">
        <v>1.43</v>
      </c>
      <c r="H162" s="30"/>
      <c r="I162" s="30">
        <v>19</v>
      </c>
      <c r="J162" s="30"/>
      <c r="K162" s="30"/>
      <c r="L162" s="30">
        <v>0.5</v>
      </c>
      <c r="M162" s="30" t="s">
        <v>185</v>
      </c>
      <c r="N162" s="30" t="s">
        <v>40</v>
      </c>
      <c r="O162" s="30">
        <v>35.9</v>
      </c>
      <c r="P162" s="30">
        <v>48.3</v>
      </c>
      <c r="Q162" s="30" t="s">
        <v>355</v>
      </c>
      <c r="R162" s="30"/>
      <c r="S162" s="30" t="s">
        <v>40</v>
      </c>
      <c r="T162" s="30" t="s">
        <v>40</v>
      </c>
      <c r="U162" s="30" t="s">
        <v>40</v>
      </c>
      <c r="V162" s="30" t="s">
        <v>44</v>
      </c>
      <c r="W162" s="30"/>
      <c r="X162" s="30"/>
      <c r="Y162" s="30" t="s">
        <v>40</v>
      </c>
      <c r="Z162" s="30" t="s">
        <v>40</v>
      </c>
      <c r="AA162" s="30" t="s">
        <v>40</v>
      </c>
      <c r="AB162" s="30">
        <v>2.72</v>
      </c>
      <c r="AC162" s="30" t="s">
        <v>40</v>
      </c>
      <c r="AD162" s="30" t="s">
        <v>40</v>
      </c>
      <c r="AE162" s="32" t="s">
        <v>40</v>
      </c>
      <c r="AF162" s="1">
        <f t="shared" si="2"/>
        <v>332.3</v>
      </c>
    </row>
    <row r="163" spans="1:32" ht="15.75" thickBot="1" x14ac:dyDescent="0.3">
      <c r="A163" s="1">
        <v>111</v>
      </c>
      <c r="B163" s="1" t="s">
        <v>356</v>
      </c>
      <c r="C163" s="1">
        <v>3002833.3</v>
      </c>
      <c r="D163" s="1">
        <v>651781.4</v>
      </c>
      <c r="E163" s="1">
        <v>338.8</v>
      </c>
      <c r="F163" s="1">
        <v>40</v>
      </c>
      <c r="G163" s="1">
        <v>10.75</v>
      </c>
      <c r="I163" s="1" t="s">
        <v>147</v>
      </c>
      <c r="AF163" s="1">
        <f t="shared" si="2"/>
        <v>298.8</v>
      </c>
    </row>
    <row r="164" spans="1:32" ht="15.75" thickBot="1" x14ac:dyDescent="0.3">
      <c r="A164" s="1">
        <v>112</v>
      </c>
      <c r="B164" s="33" t="s">
        <v>357</v>
      </c>
      <c r="C164" s="30">
        <v>3002888</v>
      </c>
      <c r="D164" s="30">
        <v>651837.80000000005</v>
      </c>
      <c r="E164" s="30">
        <v>337.4</v>
      </c>
      <c r="F164" s="30">
        <v>40</v>
      </c>
      <c r="G164" s="30">
        <v>9.5</v>
      </c>
      <c r="H164" s="30"/>
      <c r="I164" s="30" t="s">
        <v>147</v>
      </c>
      <c r="J164" s="30"/>
      <c r="K164" s="30"/>
      <c r="L164" s="30">
        <v>0.5</v>
      </c>
      <c r="M164" s="30" t="s">
        <v>358</v>
      </c>
      <c r="N164" s="30" t="s">
        <v>40</v>
      </c>
      <c r="O164" s="30">
        <v>13.1</v>
      </c>
      <c r="P164" s="30">
        <v>70.5</v>
      </c>
      <c r="Q164" s="30" t="s">
        <v>171</v>
      </c>
      <c r="R164" s="30"/>
      <c r="S164" s="30">
        <v>21.1</v>
      </c>
      <c r="T164" s="30">
        <v>1.871</v>
      </c>
      <c r="U164" s="30">
        <v>1.5449999999999999</v>
      </c>
      <c r="V164" s="30" t="s">
        <v>44</v>
      </c>
      <c r="W164" s="30"/>
      <c r="X164" s="30"/>
      <c r="Y164" s="30" t="s">
        <v>45</v>
      </c>
      <c r="Z164" s="30">
        <v>0</v>
      </c>
      <c r="AA164" s="30">
        <v>30.5</v>
      </c>
      <c r="AB164" s="30">
        <v>2.67</v>
      </c>
      <c r="AC164" s="30" t="s">
        <v>40</v>
      </c>
      <c r="AD164" s="30" t="s">
        <v>40</v>
      </c>
      <c r="AE164" s="32" t="s">
        <v>40</v>
      </c>
      <c r="AF164" s="1">
        <f t="shared" si="2"/>
        <v>297.39999999999998</v>
      </c>
    </row>
    <row r="165" spans="1:32" ht="15.75" thickBot="1" x14ac:dyDescent="0.3">
      <c r="A165" s="1">
        <v>113</v>
      </c>
      <c r="B165" s="33" t="s">
        <v>359</v>
      </c>
      <c r="C165" s="30">
        <v>3002937.7</v>
      </c>
      <c r="D165" s="30">
        <v>651889.4</v>
      </c>
      <c r="E165" s="30">
        <v>355</v>
      </c>
      <c r="F165" s="30">
        <v>40</v>
      </c>
      <c r="G165" s="30">
        <v>17.3</v>
      </c>
      <c r="H165" s="30"/>
      <c r="I165" s="30" t="s">
        <v>147</v>
      </c>
      <c r="J165" s="30"/>
      <c r="K165" s="30"/>
      <c r="L165" s="30">
        <v>0.5</v>
      </c>
      <c r="M165" s="30" t="s">
        <v>360</v>
      </c>
      <c r="N165" s="30" t="s">
        <v>40</v>
      </c>
      <c r="O165" s="30">
        <v>26.5</v>
      </c>
      <c r="P165" s="30">
        <v>47</v>
      </c>
      <c r="Q165" s="30" t="s">
        <v>361</v>
      </c>
      <c r="R165" s="30"/>
      <c r="S165" s="30">
        <v>16.899999999999999</v>
      </c>
      <c r="T165" s="30">
        <v>1.8959999999999999</v>
      </c>
      <c r="U165" s="30">
        <v>1.6220000000000001</v>
      </c>
      <c r="V165" s="30" t="s">
        <v>44</v>
      </c>
      <c r="W165" s="30"/>
      <c r="X165" s="30"/>
      <c r="Y165" s="30" t="s">
        <v>45</v>
      </c>
      <c r="Z165" s="30">
        <v>0</v>
      </c>
      <c r="AA165" s="30">
        <v>31.5</v>
      </c>
      <c r="AB165" s="30">
        <v>2.7</v>
      </c>
      <c r="AC165" s="30" t="s">
        <v>40</v>
      </c>
      <c r="AD165" s="30" t="s">
        <v>40</v>
      </c>
      <c r="AE165" s="32" t="s">
        <v>40</v>
      </c>
      <c r="AF165" s="1">
        <f t="shared" si="2"/>
        <v>315</v>
      </c>
    </row>
    <row r="166" spans="1:32" ht="15.75" thickBot="1" x14ac:dyDescent="0.3">
      <c r="A166" s="1">
        <v>114</v>
      </c>
      <c r="B166" s="33" t="s">
        <v>362</v>
      </c>
      <c r="C166" s="30">
        <v>3004295.3</v>
      </c>
      <c r="D166" s="30">
        <v>652450.5</v>
      </c>
      <c r="E166" s="30">
        <v>372.5</v>
      </c>
      <c r="F166" s="30">
        <v>40</v>
      </c>
      <c r="G166" s="30">
        <v>9.25</v>
      </c>
      <c r="H166" s="30"/>
      <c r="I166" s="30" t="s">
        <v>147</v>
      </c>
      <c r="J166" s="30"/>
      <c r="K166" s="30"/>
      <c r="L166" s="30">
        <v>0.5</v>
      </c>
      <c r="M166" s="30" t="s">
        <v>353</v>
      </c>
      <c r="N166" s="30" t="s">
        <v>40</v>
      </c>
      <c r="O166" s="30">
        <v>25.5</v>
      </c>
      <c r="P166" s="30">
        <v>37.1</v>
      </c>
      <c r="Q166" s="30">
        <v>33.200000000000003</v>
      </c>
      <c r="R166" s="30">
        <v>4.2</v>
      </c>
      <c r="S166" s="30">
        <v>18.5</v>
      </c>
      <c r="T166" s="30">
        <v>1.9219999999999999</v>
      </c>
      <c r="U166" s="30">
        <v>1.6220000000000001</v>
      </c>
      <c r="V166" s="30" t="s">
        <v>44</v>
      </c>
      <c r="W166" s="30"/>
      <c r="X166" s="30"/>
      <c r="Y166" s="30" t="s">
        <v>45</v>
      </c>
      <c r="Z166" s="30">
        <v>0.1</v>
      </c>
      <c r="AA166" s="30">
        <v>33</v>
      </c>
      <c r="AB166" s="30">
        <v>2.69</v>
      </c>
      <c r="AC166" s="30" t="s">
        <v>40</v>
      </c>
      <c r="AD166" s="30" t="s">
        <v>40</v>
      </c>
      <c r="AE166" s="32" t="s">
        <v>40</v>
      </c>
      <c r="AF166" s="1">
        <f t="shared" si="2"/>
        <v>332.5</v>
      </c>
    </row>
    <row r="167" spans="1:32" ht="15.75" thickBot="1" x14ac:dyDescent="0.3">
      <c r="A167" s="1">
        <v>115</v>
      </c>
      <c r="B167" s="33" t="s">
        <v>363</v>
      </c>
      <c r="C167" s="30">
        <v>3004313.1</v>
      </c>
      <c r="D167" s="30">
        <v>652458.4</v>
      </c>
      <c r="E167" s="30">
        <v>358.9</v>
      </c>
      <c r="F167" s="30">
        <v>40</v>
      </c>
      <c r="G167" s="30">
        <v>1.03</v>
      </c>
      <c r="H167" s="30"/>
      <c r="I167" s="30" t="s">
        <v>147</v>
      </c>
      <c r="J167" s="30"/>
      <c r="K167" s="30"/>
      <c r="L167" s="30">
        <v>0.5</v>
      </c>
      <c r="M167" s="30" t="s">
        <v>170</v>
      </c>
      <c r="N167" s="30" t="s">
        <v>40</v>
      </c>
      <c r="O167" s="30">
        <v>29.1</v>
      </c>
      <c r="P167" s="30">
        <v>54.8</v>
      </c>
      <c r="Q167" s="30" t="s">
        <v>364</v>
      </c>
      <c r="R167" s="30"/>
      <c r="S167" s="30">
        <v>15.8</v>
      </c>
      <c r="T167" s="30">
        <v>1.95</v>
      </c>
      <c r="U167" s="30">
        <v>1.6839999999999999</v>
      </c>
      <c r="V167" s="30" t="s">
        <v>44</v>
      </c>
      <c r="W167" s="30"/>
      <c r="X167" s="30"/>
      <c r="Y167" s="30" t="s">
        <v>45</v>
      </c>
      <c r="Z167" s="30">
        <v>0</v>
      </c>
      <c r="AA167" s="30">
        <v>34.5</v>
      </c>
      <c r="AB167" s="30">
        <v>2.71</v>
      </c>
      <c r="AC167" s="30" t="s">
        <v>40</v>
      </c>
      <c r="AD167" s="30" t="s">
        <v>40</v>
      </c>
      <c r="AE167" s="32" t="s">
        <v>40</v>
      </c>
      <c r="AF167" s="1">
        <f t="shared" si="2"/>
        <v>318.89999999999998</v>
      </c>
    </row>
    <row r="168" spans="1:32" ht="15.75" thickBot="1" x14ac:dyDescent="0.3">
      <c r="A168" s="1">
        <v>116</v>
      </c>
      <c r="B168" s="33" t="s">
        <v>365</v>
      </c>
      <c r="C168" s="30">
        <v>3004426.8</v>
      </c>
      <c r="D168" s="30">
        <v>652510.5</v>
      </c>
      <c r="E168" s="30">
        <v>347</v>
      </c>
      <c r="F168" s="30">
        <v>40</v>
      </c>
      <c r="G168" s="30">
        <v>18</v>
      </c>
      <c r="H168" s="30">
        <v>0.75</v>
      </c>
      <c r="I168" s="30" t="s">
        <v>147</v>
      </c>
      <c r="J168" s="30"/>
      <c r="K168" s="30"/>
      <c r="L168" s="30">
        <v>0.5</v>
      </c>
      <c r="M168" s="30" t="s">
        <v>366</v>
      </c>
      <c r="N168" s="30" t="s">
        <v>40</v>
      </c>
      <c r="O168" s="30">
        <v>42.9</v>
      </c>
      <c r="P168" s="30">
        <v>42.6</v>
      </c>
      <c r="Q168" s="30" t="s">
        <v>71</v>
      </c>
      <c r="R168" s="30"/>
      <c r="S168" s="30" t="s">
        <v>40</v>
      </c>
      <c r="T168" s="30" t="s">
        <v>40</v>
      </c>
      <c r="U168" s="30" t="s">
        <v>40</v>
      </c>
      <c r="V168" s="30" t="s">
        <v>44</v>
      </c>
      <c r="W168" s="30"/>
      <c r="X168" s="30"/>
      <c r="Y168" s="30" t="s">
        <v>40</v>
      </c>
      <c r="Z168" s="30" t="s">
        <v>40</v>
      </c>
      <c r="AA168" s="30" t="s">
        <v>40</v>
      </c>
      <c r="AB168" s="30">
        <v>2.73</v>
      </c>
      <c r="AC168" s="30" t="s">
        <v>40</v>
      </c>
      <c r="AD168" s="30" t="s">
        <v>40</v>
      </c>
      <c r="AE168" s="32" t="s">
        <v>40</v>
      </c>
      <c r="AF168" s="1">
        <f t="shared" si="2"/>
        <v>307</v>
      </c>
    </row>
    <row r="169" spans="1:32" x14ac:dyDescent="0.25">
      <c r="A169" s="1">
        <v>117</v>
      </c>
      <c r="B169" s="1" t="s">
        <v>367</v>
      </c>
      <c r="C169" s="1">
        <v>3004445.6</v>
      </c>
      <c r="D169" s="1">
        <v>652518.6</v>
      </c>
      <c r="E169" s="1">
        <v>350.6</v>
      </c>
      <c r="F169" s="1">
        <v>40</v>
      </c>
      <c r="G169" s="1">
        <v>10.75</v>
      </c>
      <c r="I169" s="1" t="s">
        <v>147</v>
      </c>
      <c r="AF169" s="1">
        <f t="shared" si="2"/>
        <v>310.60000000000002</v>
      </c>
    </row>
    <row r="170" spans="1:32" x14ac:dyDescent="0.25">
      <c r="A170" s="1">
        <v>118</v>
      </c>
      <c r="B170" s="1" t="s">
        <v>368</v>
      </c>
      <c r="C170" s="1">
        <v>2997733.7</v>
      </c>
      <c r="D170" s="1">
        <v>645288.69999999995</v>
      </c>
      <c r="E170" s="1">
        <v>275.8</v>
      </c>
      <c r="F170" s="1">
        <v>15.3</v>
      </c>
      <c r="G170" s="1">
        <v>0.75</v>
      </c>
      <c r="I170" s="1" t="s">
        <v>147</v>
      </c>
      <c r="AF170" s="1">
        <f t="shared" si="2"/>
        <v>260.5</v>
      </c>
    </row>
    <row r="171" spans="1:32" ht="15.75" thickBot="1" x14ac:dyDescent="0.3">
      <c r="A171" s="1">
        <v>119</v>
      </c>
      <c r="B171" s="1" t="s">
        <v>369</v>
      </c>
      <c r="C171" s="1">
        <v>2997748.9</v>
      </c>
      <c r="D171" s="1">
        <v>645298.9</v>
      </c>
      <c r="E171" s="1">
        <v>275</v>
      </c>
      <c r="F171" s="1">
        <v>15.15</v>
      </c>
      <c r="G171" s="1">
        <v>0.2</v>
      </c>
      <c r="I171" s="1" t="s">
        <v>147</v>
      </c>
      <c r="AF171" s="1">
        <f t="shared" si="2"/>
        <v>259.85000000000002</v>
      </c>
    </row>
    <row r="172" spans="1:32" ht="15.75" thickBot="1" x14ac:dyDescent="0.3">
      <c r="A172" s="1">
        <v>120</v>
      </c>
      <c r="B172" s="33" t="s">
        <v>370</v>
      </c>
      <c r="C172" s="30">
        <v>3001124.6</v>
      </c>
      <c r="D172" s="30">
        <v>649079.1</v>
      </c>
      <c r="E172" s="30">
        <v>330.7</v>
      </c>
      <c r="F172" s="30">
        <v>15.1</v>
      </c>
      <c r="G172" s="30">
        <v>0.74</v>
      </c>
      <c r="H172" s="30"/>
      <c r="I172" s="30" t="s">
        <v>147</v>
      </c>
      <c r="J172" s="30"/>
      <c r="K172" s="30"/>
      <c r="L172" s="30">
        <v>0.5</v>
      </c>
      <c r="M172" s="30" t="s">
        <v>371</v>
      </c>
      <c r="N172" s="30" t="s">
        <v>40</v>
      </c>
      <c r="O172" s="30">
        <v>42</v>
      </c>
      <c r="P172" s="30">
        <v>51.7</v>
      </c>
      <c r="Q172" s="30" t="s">
        <v>372</v>
      </c>
      <c r="R172" s="30"/>
      <c r="S172" s="30" t="s">
        <v>40</v>
      </c>
      <c r="T172" s="30" t="s">
        <v>40</v>
      </c>
      <c r="U172" s="30" t="s">
        <v>40</v>
      </c>
      <c r="V172" s="30" t="s">
        <v>44</v>
      </c>
      <c r="W172" s="30"/>
      <c r="X172" s="30"/>
      <c r="Y172" s="30" t="s">
        <v>40</v>
      </c>
      <c r="Z172" s="30" t="s">
        <v>40</v>
      </c>
      <c r="AA172" s="30" t="s">
        <v>40</v>
      </c>
      <c r="AB172" s="30">
        <v>2.68</v>
      </c>
      <c r="AC172" s="30" t="s">
        <v>40</v>
      </c>
      <c r="AD172" s="30" t="s">
        <v>40</v>
      </c>
      <c r="AE172" s="32" t="s">
        <v>40</v>
      </c>
      <c r="AF172" s="1">
        <f t="shared" si="2"/>
        <v>315.59999999999997</v>
      </c>
    </row>
    <row r="173" spans="1:32" ht="15.75" thickBot="1" x14ac:dyDescent="0.3">
      <c r="A173" s="1">
        <v>121</v>
      </c>
      <c r="B173" s="33" t="s">
        <v>373</v>
      </c>
      <c r="C173" s="30">
        <v>3001130.3</v>
      </c>
      <c r="D173" s="30">
        <v>649096.6</v>
      </c>
      <c r="E173" s="30">
        <v>331.7</v>
      </c>
      <c r="F173" s="30">
        <v>15.15</v>
      </c>
      <c r="G173" s="30">
        <v>1.06</v>
      </c>
      <c r="H173" s="30"/>
      <c r="I173" s="30" t="s">
        <v>147</v>
      </c>
      <c r="J173" s="30"/>
      <c r="K173" s="30"/>
      <c r="L173" s="30">
        <v>0.5</v>
      </c>
      <c r="M173" s="30" t="s">
        <v>281</v>
      </c>
      <c r="N173" s="30" t="s">
        <v>40</v>
      </c>
      <c r="O173" s="30">
        <v>43.1</v>
      </c>
      <c r="P173" s="30">
        <v>51.9</v>
      </c>
      <c r="Q173" s="30" t="s">
        <v>374</v>
      </c>
      <c r="R173" s="30"/>
      <c r="S173" s="30" t="s">
        <v>40</v>
      </c>
      <c r="T173" s="30" t="s">
        <v>40</v>
      </c>
      <c r="U173" s="30" t="s">
        <v>40</v>
      </c>
      <c r="V173" s="30" t="s">
        <v>44</v>
      </c>
      <c r="W173" s="30"/>
      <c r="X173" s="30"/>
      <c r="Y173" s="30" t="s">
        <v>40</v>
      </c>
      <c r="Z173" s="30" t="s">
        <v>40</v>
      </c>
      <c r="AA173" s="30" t="s">
        <v>40</v>
      </c>
      <c r="AB173" s="30">
        <v>2.67</v>
      </c>
      <c r="AC173" s="30" t="s">
        <v>40</v>
      </c>
      <c r="AD173" s="30" t="s">
        <v>40</v>
      </c>
      <c r="AE173" s="32" t="s">
        <v>40</v>
      </c>
      <c r="AF173" s="1">
        <f t="shared" si="2"/>
        <v>316.55</v>
      </c>
    </row>
    <row r="174" spans="1:32" ht="15.75" thickBot="1" x14ac:dyDescent="0.3">
      <c r="A174" s="1">
        <v>122</v>
      </c>
      <c r="B174" s="33" t="s">
        <v>375</v>
      </c>
      <c r="C174" s="30">
        <v>3001136</v>
      </c>
      <c r="D174" s="30">
        <v>649114.1</v>
      </c>
      <c r="E174" s="30">
        <v>329.8</v>
      </c>
      <c r="F174" s="30">
        <v>15.2</v>
      </c>
      <c r="G174" s="30">
        <v>0.84</v>
      </c>
      <c r="H174" s="30"/>
      <c r="I174" s="30" t="s">
        <v>147</v>
      </c>
      <c r="J174" s="30"/>
      <c r="K174" s="30"/>
      <c r="L174" s="30">
        <v>0.5</v>
      </c>
      <c r="M174" s="30" t="s">
        <v>281</v>
      </c>
      <c r="N174" s="30" t="s">
        <v>40</v>
      </c>
      <c r="O174" s="30">
        <v>44</v>
      </c>
      <c r="P174" s="30">
        <v>50.1</v>
      </c>
      <c r="Q174" s="30" t="s">
        <v>376</v>
      </c>
      <c r="R174" s="30"/>
      <c r="S174" s="30" t="s">
        <v>40</v>
      </c>
      <c r="T174" s="30" t="s">
        <v>40</v>
      </c>
      <c r="U174" s="30" t="s">
        <v>40</v>
      </c>
      <c r="V174" s="30" t="s">
        <v>44</v>
      </c>
      <c r="W174" s="30"/>
      <c r="X174" s="30"/>
      <c r="Y174" s="30" t="s">
        <v>40</v>
      </c>
      <c r="Z174" s="30" t="s">
        <v>40</v>
      </c>
      <c r="AA174" s="30" t="s">
        <v>40</v>
      </c>
      <c r="AB174" s="30">
        <v>2.68</v>
      </c>
      <c r="AC174" s="30" t="s">
        <v>40</v>
      </c>
      <c r="AD174" s="30" t="s">
        <v>40</v>
      </c>
      <c r="AE174" s="32" t="s">
        <v>40</v>
      </c>
      <c r="AF174" s="1">
        <f t="shared" si="2"/>
        <v>314.60000000000002</v>
      </c>
    </row>
    <row r="175" spans="1:32" ht="15.75" thickBot="1" x14ac:dyDescent="0.3">
      <c r="A175" s="1">
        <v>123</v>
      </c>
      <c r="B175" s="33" t="s">
        <v>377</v>
      </c>
      <c r="C175" s="30">
        <v>3001141.6</v>
      </c>
      <c r="D175" s="30">
        <v>649131.5</v>
      </c>
      <c r="E175" s="30">
        <v>327.5</v>
      </c>
      <c r="F175" s="30">
        <v>15.1</v>
      </c>
      <c r="G175" s="30">
        <v>0.74</v>
      </c>
      <c r="H175" s="30"/>
      <c r="I175" s="30" t="s">
        <v>147</v>
      </c>
      <c r="J175" s="30"/>
      <c r="K175" s="30"/>
      <c r="L175" s="30">
        <v>0.5</v>
      </c>
      <c r="M175" s="30" t="s">
        <v>281</v>
      </c>
      <c r="N175" s="30" t="s">
        <v>40</v>
      </c>
      <c r="O175" s="30">
        <v>47.4</v>
      </c>
      <c r="P175" s="30">
        <v>48.1</v>
      </c>
      <c r="Q175" s="30" t="s">
        <v>76</v>
      </c>
      <c r="R175" s="30"/>
      <c r="S175" s="30" t="s">
        <v>40</v>
      </c>
      <c r="T175" s="30" t="s">
        <v>40</v>
      </c>
      <c r="U175" s="30" t="s">
        <v>40</v>
      </c>
      <c r="V175" s="30" t="s">
        <v>44</v>
      </c>
      <c r="W175" s="30"/>
      <c r="X175" s="30"/>
      <c r="Y175" s="30" t="s">
        <v>40</v>
      </c>
      <c r="Z175" s="30" t="s">
        <v>40</v>
      </c>
      <c r="AA175" s="30" t="s">
        <v>40</v>
      </c>
      <c r="AB175" s="30">
        <v>2.7</v>
      </c>
      <c r="AC175" s="30" t="s">
        <v>40</v>
      </c>
      <c r="AD175" s="30" t="s">
        <v>40</v>
      </c>
      <c r="AE175" s="32" t="s">
        <v>40</v>
      </c>
      <c r="AF175" s="1">
        <f t="shared" si="2"/>
        <v>312.39999999999998</v>
      </c>
    </row>
    <row r="176" spans="1:32" ht="15.75" thickBot="1" x14ac:dyDescent="0.3">
      <c r="A176" s="1">
        <v>124</v>
      </c>
      <c r="B176" s="33" t="s">
        <v>378</v>
      </c>
      <c r="C176" s="30">
        <v>3001147.3</v>
      </c>
      <c r="D176" s="30">
        <v>649149</v>
      </c>
      <c r="E176" s="30">
        <v>326.2</v>
      </c>
      <c r="F176" s="30">
        <v>15.1</v>
      </c>
      <c r="G176" s="30">
        <v>1.5</v>
      </c>
      <c r="H176" s="30"/>
      <c r="I176" s="30" t="s">
        <v>147</v>
      </c>
      <c r="J176" s="30"/>
      <c r="K176" s="30"/>
      <c r="L176" s="30">
        <v>0.5</v>
      </c>
      <c r="M176" s="30" t="s">
        <v>281</v>
      </c>
      <c r="N176" s="30" t="s">
        <v>40</v>
      </c>
      <c r="O176" s="30">
        <v>48.1</v>
      </c>
      <c r="P176" s="30">
        <v>48.3</v>
      </c>
      <c r="Q176" s="30" t="s">
        <v>379</v>
      </c>
      <c r="R176" s="30"/>
      <c r="S176" s="30" t="s">
        <v>40</v>
      </c>
      <c r="T176" s="30" t="s">
        <v>40</v>
      </c>
      <c r="U176" s="30" t="s">
        <v>40</v>
      </c>
      <c r="V176" s="30" t="s">
        <v>44</v>
      </c>
      <c r="W176" s="30"/>
      <c r="X176" s="30"/>
      <c r="Y176" s="30" t="s">
        <v>40</v>
      </c>
      <c r="Z176" s="30" t="s">
        <v>40</v>
      </c>
      <c r="AA176" s="30" t="s">
        <v>40</v>
      </c>
      <c r="AB176" s="30">
        <v>2.7</v>
      </c>
      <c r="AC176" s="30" t="s">
        <v>40</v>
      </c>
      <c r="AD176" s="30" t="s">
        <v>40</v>
      </c>
      <c r="AE176" s="32" t="s">
        <v>40</v>
      </c>
      <c r="AF176" s="1">
        <f t="shared" si="2"/>
        <v>311.09999999999997</v>
      </c>
    </row>
  </sheetData>
  <mergeCells count="74">
    <mergeCell ref="AF1:AF2"/>
    <mergeCell ref="J1:K1"/>
    <mergeCell ref="L1:L2"/>
    <mergeCell ref="C1:D1"/>
    <mergeCell ref="E1:E2"/>
    <mergeCell ref="F1:F2"/>
    <mergeCell ref="AB1:AB2"/>
    <mergeCell ref="AC1:AE1"/>
    <mergeCell ref="N1:N2"/>
    <mergeCell ref="S1:U1"/>
    <mergeCell ref="V1:X1"/>
    <mergeCell ref="Y1:AA1"/>
    <mergeCell ref="A3:A4"/>
    <mergeCell ref="B3:B4"/>
    <mergeCell ref="A5:A8"/>
    <mergeCell ref="B5:B8"/>
    <mergeCell ref="M1:M2"/>
    <mergeCell ref="G1:G2"/>
    <mergeCell ref="H1:H2"/>
    <mergeCell ref="I1:I2"/>
    <mergeCell ref="A11:A12"/>
    <mergeCell ref="B11:B12"/>
    <mergeCell ref="A17:A21"/>
    <mergeCell ref="B17:B21"/>
    <mergeCell ref="A24:A25"/>
    <mergeCell ref="B24:B25"/>
    <mergeCell ref="A26:A27"/>
    <mergeCell ref="B26:B27"/>
    <mergeCell ref="A33:A34"/>
    <mergeCell ref="B33:B34"/>
    <mergeCell ref="A35:A36"/>
    <mergeCell ref="B35:B36"/>
    <mergeCell ref="A37:A38"/>
    <mergeCell ref="B37:B38"/>
    <mergeCell ref="A39:A41"/>
    <mergeCell ref="B39:B41"/>
    <mergeCell ref="A45:A46"/>
    <mergeCell ref="B45:B46"/>
    <mergeCell ref="A50:A51"/>
    <mergeCell ref="B50:B51"/>
    <mergeCell ref="A52:A53"/>
    <mergeCell ref="B52:B53"/>
    <mergeCell ref="A54:A55"/>
    <mergeCell ref="B54:B55"/>
    <mergeCell ref="A57:A58"/>
    <mergeCell ref="B57:B58"/>
    <mergeCell ref="A60:A61"/>
    <mergeCell ref="B60:B61"/>
    <mergeCell ref="A62:A64"/>
    <mergeCell ref="B62:B64"/>
    <mergeCell ref="A69:A71"/>
    <mergeCell ref="B69:B71"/>
    <mergeCell ref="A74:A75"/>
    <mergeCell ref="B74:B75"/>
    <mergeCell ref="A78:A79"/>
    <mergeCell ref="B78:B79"/>
    <mergeCell ref="A80:A81"/>
    <mergeCell ref="B80:B81"/>
    <mergeCell ref="A82:A84"/>
    <mergeCell ref="B82:B84"/>
    <mergeCell ref="A97:A98"/>
    <mergeCell ref="B97:B98"/>
    <mergeCell ref="B160:B161"/>
    <mergeCell ref="A99:A100"/>
    <mergeCell ref="B99:B100"/>
    <mergeCell ref="A104:A105"/>
    <mergeCell ref="B120:B122"/>
    <mergeCell ref="B124:B126"/>
    <mergeCell ref="B127:B128"/>
    <mergeCell ref="B129:B130"/>
    <mergeCell ref="B133:B135"/>
    <mergeCell ref="B150:B152"/>
    <mergeCell ref="B153:B155"/>
    <mergeCell ref="B157:B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MANOHARA K N</dc:creator>
  <cp:lastModifiedBy>MANOHARA K N</cp:lastModifiedBy>
  <dcterms:created xsi:type="dcterms:W3CDTF">2024-11-12T09:30:00Z</dcterms:created>
  <dcterms:modified xsi:type="dcterms:W3CDTF">2025-01-10T11:52:50Z</dcterms:modified>
</cp:coreProperties>
</file>