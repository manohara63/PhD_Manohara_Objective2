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PhD work\Objective 2\Landslide Attribute analysis\"/>
    </mc:Choice>
  </mc:AlternateContent>
  <xr:revisionPtr revIDLastSave="0" documentId="13_ncr:1_{46867D51-B6AA-477D-9559-26B8EB9C6F53}" xr6:coauthVersionLast="36" xr6:coauthVersionMax="36" xr10:uidLastSave="{00000000-0000-0000-0000-000000000000}"/>
  <bookViews>
    <workbookView xWindow="0" yWindow="0" windowWidth="22260" windowHeight="12645" activeTab="3" xr2:uid="{00000000-000D-0000-FFFF-FFFF00000000}"/>
  </bookViews>
  <sheets>
    <sheet name="Sheet1" sheetId="1" r:id="rId1"/>
    <sheet name="Sheet2" sheetId="2" r:id="rId2"/>
    <sheet name="movement rate" sheetId="4" r:id="rId3"/>
    <sheet name="failure mechanism" sheetId="5" r:id="rId4"/>
    <sheet name="Sheet3" sheetId="3"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3" l="1"/>
  <c r="C4" i="3"/>
  <c r="C2" i="3"/>
  <c r="B5" i="3"/>
  <c r="K3" i="3"/>
  <c r="K4" i="3"/>
  <c r="K5" i="3"/>
  <c r="K2" i="3"/>
  <c r="I6" i="3"/>
</calcChain>
</file>

<file path=xl/sharedStrings.xml><?xml version="1.0" encoding="utf-8"?>
<sst xmlns="http://schemas.openxmlformats.org/spreadsheetml/2006/main" count="13496" uniqueCount="1138">
  <si>
    <t>Kalimpong Sub-division.</t>
  </si>
  <si>
    <t>FID</t>
  </si>
  <si>
    <t>OBJECTID</t>
  </si>
  <si>
    <t>LONGITUDE</t>
  </si>
  <si>
    <t>LATITUDE</t>
  </si>
  <si>
    <t>SLIDE_NO</t>
  </si>
  <si>
    <t>DEPTH</t>
  </si>
  <si>
    <t>GEOLOGY</t>
  </si>
  <si>
    <t>STRUCTURE</t>
  </si>
  <si>
    <t>ABSTRACT</t>
  </si>
  <si>
    <t>CITATION</t>
  </si>
  <si>
    <t>LENGTH</t>
  </si>
  <si>
    <t>WIDTH</t>
  </si>
  <si>
    <t>HEIGHT</t>
  </si>
  <si>
    <t>LS_AREA</t>
  </si>
  <si>
    <t>TRIGGERING</t>
  </si>
  <si>
    <t>REMARKS</t>
  </si>
  <si>
    <t>LS_VOLUME</t>
  </si>
  <si>
    <t>ALERT</t>
  </si>
  <si>
    <t>STATE</t>
  </si>
  <si>
    <t>DISTRICT</t>
  </si>
  <si>
    <t>TOPOSHEET</t>
  </si>
  <si>
    <t>SLIDE_NAME</t>
  </si>
  <si>
    <t>ACTIVITY</t>
  </si>
  <si>
    <t>STYLE</t>
  </si>
  <si>
    <t>INITIATION</t>
  </si>
  <si>
    <t>PHOTOS</t>
  </si>
  <si>
    <t>REPORT</t>
  </si>
  <si>
    <t>IMAGE_LAND</t>
  </si>
  <si>
    <t>REPORT_LAN</t>
  </si>
  <si>
    <t>NH_SH_LOCA</t>
  </si>
  <si>
    <t>RUNOUT_DIS</t>
  </si>
  <si>
    <t>MATERIAL_T</t>
  </si>
  <si>
    <t>MOVEMENT_T</t>
  </si>
  <si>
    <t>MOVEMENT_R</t>
  </si>
  <si>
    <t>DISTRIBUTI</t>
  </si>
  <si>
    <t>FAILURE_ME</t>
  </si>
  <si>
    <t>REACTIVATI</t>
  </si>
  <si>
    <t>REACTIVA_1</t>
  </si>
  <si>
    <t>REACTIVA_2</t>
  </si>
  <si>
    <t>GEOMORPHOL</t>
  </si>
  <si>
    <t>HYDROLOGIC</t>
  </si>
  <si>
    <t>LANDUSE_LA</t>
  </si>
  <si>
    <t>PERSONS_DE</t>
  </si>
  <si>
    <t>PEOPLE_AFF</t>
  </si>
  <si>
    <t>LIVESTOCK_</t>
  </si>
  <si>
    <t>COMMUNICAT</t>
  </si>
  <si>
    <t>LANDUSE_AF</t>
  </si>
  <si>
    <t>PRE_REMEDI</t>
  </si>
  <si>
    <t>INFRASTRUC</t>
  </si>
  <si>
    <t>GEOSCIENTI</t>
  </si>
  <si>
    <t>Slope_DG</t>
  </si>
  <si>
    <t>Hillshade_</t>
  </si>
  <si>
    <t>Curvature</t>
  </si>
  <si>
    <t>Relative_r</t>
  </si>
  <si>
    <t>NDWI</t>
  </si>
  <si>
    <t>NDVI</t>
  </si>
  <si>
    <t>dist_to_tr</t>
  </si>
  <si>
    <t>TWI</t>
  </si>
  <si>
    <t>TRI</t>
  </si>
  <si>
    <t>SPI</t>
  </si>
  <si>
    <t>drainage_d</t>
  </si>
  <si>
    <t>Distance_t</t>
  </si>
  <si>
    <t>Soil_type_</t>
  </si>
  <si>
    <t>lineament</t>
  </si>
  <si>
    <t>dist_to_li</t>
  </si>
  <si>
    <t>dist_to_fa</t>
  </si>
  <si>
    <t>Aspect</t>
  </si>
  <si>
    <t>DEM_DG</t>
  </si>
  <si>
    <t>geology_ra</t>
  </si>
  <si>
    <t>geomorph_r</t>
  </si>
  <si>
    <t>WB/DARJ/78B01/2015/51</t>
  </si>
  <si>
    <t xml:space="preserve"> </t>
  </si>
  <si>
    <t>West Bengal</t>
  </si>
  <si>
    <t>Darjeeling</t>
  </si>
  <si>
    <t>78B/5</t>
  </si>
  <si>
    <t>Active</t>
  </si>
  <si>
    <t>Single</t>
  </si>
  <si>
    <t>On NH-10 (near 5 km milestone from Sivok)</t>
  </si>
  <si>
    <t>Debris</t>
  </si>
  <si>
    <t>Widening</t>
  </si>
  <si>
    <t>Channel wall</t>
  </si>
  <si>
    <t>Wet</t>
  </si>
  <si>
    <t>Moderately vegetated</t>
  </si>
  <si>
    <t>Partial blockage of NH-10</t>
  </si>
  <si>
    <t>Toe cutting by river due to rise in water level</t>
  </si>
  <si>
    <t>WB/DAR/78A08/2015/111</t>
  </si>
  <si>
    <t>PHYLLITE, CHLORITE SERICITE SCHIST AND QUARTZITE</t>
  </si>
  <si>
    <t>Gogoi, D, Tewari, H.  (2017). Macro-scale landslide susceptibility mapping in parts of 78A/4, 8, 12 and 78F/1, 5, 9, 10, Darjeeling and Jalpaiguri districts, West Bengal</t>
  </si>
  <si>
    <t>Rainfall</t>
  </si>
  <si>
    <t>78A08</t>
  </si>
  <si>
    <t>NH-31A  _ 24 Km (29th Mile) from Sevok(Tiger Bridge) towards  Gangtok</t>
  </si>
  <si>
    <t>Suspended</t>
  </si>
  <si>
    <t>NH31A</t>
  </si>
  <si>
    <t>Slide</t>
  </si>
  <si>
    <t>Rapid</t>
  </si>
  <si>
    <t>Confined</t>
  </si>
  <si>
    <t>Shallow translational failure</t>
  </si>
  <si>
    <t>Moderately dissected hill</t>
  </si>
  <si>
    <t xml:space="preserve"> Thick vegetation</t>
  </si>
  <si>
    <t>Natural slope failure and initiation of first order stream</t>
  </si>
  <si>
    <t>WB/DAR/78A08/2015/112</t>
  </si>
  <si>
    <t>Slopewash</t>
  </si>
  <si>
    <t>Natural slope failure due to waerthering and excessive rainfall</t>
  </si>
  <si>
    <t>WB/DARJ/78A08/2011/0267</t>
  </si>
  <si>
    <t>Earthquake</t>
  </si>
  <si>
    <t>Road blockage</t>
  </si>
  <si>
    <t>Dry</t>
  </si>
  <si>
    <t>WB/DAR/78A08/2015/1347</t>
  </si>
  <si>
    <t>SEVOK ROAD</t>
  </si>
  <si>
    <t>Nala cutting</t>
  </si>
  <si>
    <t>WB/DAR/78A08/2015/1434</t>
  </si>
  <si>
    <t>QUARTZ ARENITE, BLACK SLATE, CHERTY PHYLLITE</t>
  </si>
  <si>
    <t>Deep rotational failure</t>
  </si>
  <si>
    <t>Sparse vegetation</t>
  </si>
  <si>
    <t>WB/DAR/78A08/2015/1435</t>
  </si>
  <si>
    <t>WB/DARJ/78A08/2007/0266</t>
  </si>
  <si>
    <t>Colluvium/ debris and weathered schist/ phyllite</t>
  </si>
  <si>
    <t>Road bench severely damaged and a perennial trouble spot on NH-31A in recent monsoons</t>
  </si>
  <si>
    <t>Multiple</t>
  </si>
  <si>
    <t>23.15 km from Sevok(Tiger Bridge) on NH-31A towards Gangtok</t>
  </si>
  <si>
    <t>Enlarging</t>
  </si>
  <si>
    <t>Slides needs to be tackled in the up slope regions though construction of proper drainage arrangements, retaining walls (boulder gabion types) and training of the stream course. This slide needs detailed mapping and investigations</t>
  </si>
  <si>
    <t>WB/DARJ/78A08/2011/0269</t>
  </si>
  <si>
    <t>Moist</t>
  </si>
  <si>
    <t>WB/DAR/78A08/2015/113</t>
  </si>
  <si>
    <t>NH-31A _24.9 km (near Geilkhola bridge) from Sevok(Tiger Bridge) towards  Gangtok</t>
  </si>
  <si>
    <t>WB/DAR/78A08/2015/1348</t>
  </si>
  <si>
    <t>Subsidence</t>
  </si>
  <si>
    <t>WB/DAR/78A08/2015/66</t>
  </si>
  <si>
    <t>Colluvium</t>
  </si>
  <si>
    <t>NH-31A 25.5 km from Sevok(Tiger Bridge)  towards  Gangtok</t>
  </si>
  <si>
    <t>25.5 km from Sevok(Tiger Bridge) on NH-31A towards  Gangtok</t>
  </si>
  <si>
    <t>Flow</t>
  </si>
  <si>
    <t>Escarpment</t>
  </si>
  <si>
    <t>Accumulation of slide debris on road bench causin*</t>
  </si>
  <si>
    <t>Removal accumulated slide debris, easing of slope*</t>
  </si>
  <si>
    <t>Wedge failure and sheet erosion along the slope due to effect of heavy surface drainage during rain.</t>
  </si>
  <si>
    <t>WB/DARJ/78A08/2007/0268</t>
  </si>
  <si>
    <t>Road fill material and thin colluvium</t>
  </si>
  <si>
    <t>Minor road blockade</t>
  </si>
  <si>
    <t>25.5 km from Sevok(Tiger Bridge) on NH-31A towards Gangtok</t>
  </si>
  <si>
    <t>Culvert, road side drain etc.</t>
  </si>
  <si>
    <t>WB/DARJ/78A08/2007/0270</t>
  </si>
  <si>
    <t>WB/DAR/78A08/2015/1349</t>
  </si>
  <si>
    <t>Successive</t>
  </si>
  <si>
    <t>WB/DARJ/78A08/2013/0271</t>
  </si>
  <si>
    <t>Road bench and village sinking</t>
  </si>
  <si>
    <t>Rock</t>
  </si>
  <si>
    <t>Moderate</t>
  </si>
  <si>
    <t>Retrogressive</t>
  </si>
  <si>
    <t>dripping</t>
  </si>
  <si>
    <t>Excessive rainfall every year</t>
  </si>
  <si>
    <t>WB/DAR/78A08/2015/128</t>
  </si>
  <si>
    <t>NH-31A Lukuvir slide from Sevok(Tiger Bridge) towards  Gangtok</t>
  </si>
  <si>
    <t>WB/DAR/78A08/2015/1350</t>
  </si>
  <si>
    <t>WB/DAR/78A08/2015/77</t>
  </si>
  <si>
    <t>HIGH GRADES SCHIST</t>
  </si>
  <si>
    <t>NH-31A 26.30 km from Sevok(Tiger Bridge) on owards Gangtok</t>
  </si>
  <si>
    <t>Reactivated</t>
  </si>
  <si>
    <t>26.30 km from Sevok(Tiger Bridge) on NH-31A towards  Gangtok</t>
  </si>
  <si>
    <t>WB/DAR/78A08/2015/1515</t>
  </si>
  <si>
    <t>Compacted debris</t>
  </si>
  <si>
    <t>CHIBBO (OC JHORA)</t>
  </si>
  <si>
    <t>CHIBBO</t>
  </si>
  <si>
    <t>WB/DAR/78A08/2015/1351</t>
  </si>
  <si>
    <t>WB/DARJ/78A08/2007/0272</t>
  </si>
  <si>
    <t>Weathered and fractured phyllite/ schist of Daling Group</t>
  </si>
  <si>
    <t>Rock fall zone</t>
  </si>
  <si>
    <t>26.30 km from Sevok(Tiger Bridge) on NH-31A towards Gangtok</t>
  </si>
  <si>
    <t>Deep translational failure</t>
  </si>
  <si>
    <t>Wire mesh shotcreting and anchoring with provision of drainage holes. Repair and maintenance of road side drain. Construction of retaining structure from river bed below after founding the retaining structure over bedrock through anchoring. Cross drainag</t>
  </si>
  <si>
    <t>Wedge failure and toe erosion</t>
  </si>
  <si>
    <t>WB/DAR/78A08/2015/129</t>
  </si>
  <si>
    <t>NH-31A 27.3 km from Sevok(Tiger Bridge) towards  Gangtok</t>
  </si>
  <si>
    <t>WB/DARJ/78A08/2013/0273</t>
  </si>
  <si>
    <t>Road bench affected</t>
  </si>
  <si>
    <t>Damp</t>
  </si>
  <si>
    <t>Rainfall in excess</t>
  </si>
  <si>
    <t>WB/DAR/78A08/2015/133</t>
  </si>
  <si>
    <t>Chibo-Pashyor slide,Kalimpong</t>
  </si>
  <si>
    <t>Highly dissected hill</t>
  </si>
  <si>
    <t>WB/DARJ/78A08/2013/0312</t>
  </si>
  <si>
    <t>The entire village and main road affected.</t>
  </si>
  <si>
    <t>Weak planes in  jointed rock aggravated by excessive rainfall during monsoon.</t>
  </si>
  <si>
    <t>WB/DAR/78A08/2015/1427</t>
  </si>
  <si>
    <t>Rock cum Debris</t>
  </si>
  <si>
    <t>WB/DAR/78B05/2015/464</t>
  </si>
  <si>
    <t>Younger loose debris</t>
  </si>
  <si>
    <t>Gogoi, D, Kavitha, S, Kumar, P. S (2016). Macro-scale landslide susceptibility mapping in parts of 78B/1, 5, 9, 13 and 78A/16, Darjeeling and Jalpaiguri districts, West Bengal</t>
  </si>
  <si>
    <t>78B05</t>
  </si>
  <si>
    <t>NG101 NAZUK RF, LOWER DONG</t>
  </si>
  <si>
    <t>Lowly dissected hill</t>
  </si>
  <si>
    <t>Dripping</t>
  </si>
  <si>
    <t>Piping action</t>
  </si>
  <si>
    <t>WB/DAR/78B05/2015/431</t>
  </si>
  <si>
    <t>NG102Nazuk RF, Lower Dong</t>
  </si>
  <si>
    <t>Excessive rainfall</t>
  </si>
  <si>
    <t>WB/DAR/78B05/2015/463</t>
  </si>
  <si>
    <t>NG100 NAZUK RF, LOWER DONG</t>
  </si>
  <si>
    <t>Barren</t>
  </si>
  <si>
    <t>Both subsidence of the road bench and falling of slide debris causing partial blockade of the road.</t>
  </si>
  <si>
    <t>To content this slide several measures such as construction of a network of drainages were made but all these attempt failed as such a new road alignment by passing the distressed zone was recommended.</t>
  </si>
  <si>
    <t>WB/DAR/78A08/2015/1352</t>
  </si>
  <si>
    <t>HAPPY VILLA</t>
  </si>
  <si>
    <t>HAPPY VILLA, KALIMPONG</t>
  </si>
  <si>
    <t>WB/DAR/78B05/2015/456</t>
  </si>
  <si>
    <t>NG99 NAZUK RF, LOWER DONG</t>
  </si>
  <si>
    <t>Dormant</t>
  </si>
  <si>
    <t>NG99 Nazuk RF, Lower Dong</t>
  </si>
  <si>
    <t>Diminishing</t>
  </si>
  <si>
    <t>Total wash out of the road bench and also associated with rock fall.</t>
  </si>
  <si>
    <t>Easing of slope, construction of a network of drainage, retaining wall at the toe of the slide and intermediate sausage walls, afforestation. If these can not stabilize realignment for bypassing the slide.</t>
  </si>
  <si>
    <t>Piping action due to subsurface flow of water, loss of shearing strength of the thick overburden material due to heavy saturation. Presence of poor quality rock mass and adverse orientation of foliation and joints are responsible for rock fall.</t>
  </si>
  <si>
    <t>WB/DAR/78B05/2015/540</t>
  </si>
  <si>
    <t>OLD SLIDE ZONE</t>
  </si>
  <si>
    <t>NG103 NAZUK RF, LOWER DONG</t>
  </si>
  <si>
    <t>Retaining wall</t>
  </si>
  <si>
    <t>Wedge and palnar  failure</t>
  </si>
  <si>
    <t>WB/DAR/78B05/2015/595</t>
  </si>
  <si>
    <t>NH10 RAYENG</t>
  </si>
  <si>
    <t>Flowing</t>
  </si>
  <si>
    <t>Drainage management</t>
  </si>
  <si>
    <t>Pipping</t>
  </si>
  <si>
    <t>WB/DAR/78B05/2015/479</t>
  </si>
  <si>
    <t>Phyllite</t>
  </si>
  <si>
    <t>NH31A _14.2 km</t>
  </si>
  <si>
    <t>14.2 km from Sevok(Tiger Bridge) on NH-31A towards  Gangtok</t>
  </si>
  <si>
    <t>Partial road block and slope distress in upslope</t>
  </si>
  <si>
    <t>Heavy rain</t>
  </si>
  <si>
    <t>WB/DARJ/78B01/2015/47</t>
  </si>
  <si>
    <t>Few houses below road side is under risk</t>
  </si>
  <si>
    <t>North of Rambi</t>
  </si>
  <si>
    <t>Colluvial footslope</t>
  </si>
  <si>
    <t>NH-10 road bench partially collapsed</t>
  </si>
  <si>
    <t>Shearing strength reduction due to excessive rainfall</t>
  </si>
  <si>
    <t>WB/DARJ/78B05/</t>
  </si>
  <si>
    <t>NH10 blockage</t>
  </si>
  <si>
    <t>WB/DAR/78B05/2015/698</t>
  </si>
  <si>
    <t>NH-10</t>
  </si>
  <si>
    <t>WB/DAR/78B05/2015/531</t>
  </si>
  <si>
    <t>NH31A _18.9 Km</t>
  </si>
  <si>
    <t>Shotcreting</t>
  </si>
  <si>
    <t>WB/DAR/78B05/2015/671</t>
  </si>
  <si>
    <t>SUBSIDENCE PRESENT</t>
  </si>
  <si>
    <t>NH31A Rayen</t>
  </si>
  <si>
    <t>Proximity to MCT and road cutting</t>
  </si>
  <si>
    <t>WB/DARJ/78B05/2015/0103</t>
  </si>
  <si>
    <t>Quartzite</t>
  </si>
  <si>
    <t>J1:40:190; J2:60:310; J3:40:60</t>
  </si>
  <si>
    <t>At km stone Sivok 19 km</t>
  </si>
  <si>
    <t>Retaining wall &amp; rock bolting</t>
  </si>
  <si>
    <t>Planar failure along J1</t>
  </si>
  <si>
    <t>WB/DARJ/78B01/2015/48</t>
  </si>
  <si>
    <t>J1=&gt;40-&gt;190, J2=&gt;60-&gt;310, J3=&gt;40-&gt;60</t>
  </si>
  <si>
    <t>At 19 Km milestone from Sivok</t>
  </si>
  <si>
    <t>WB/DAR/78B05/2015/409</t>
  </si>
  <si>
    <t>Devisthan Jhor a(Kurseong)</t>
  </si>
  <si>
    <t>Road and village affected</t>
  </si>
  <si>
    <t>Piping and old slide has aggravated the general slope condition</t>
  </si>
  <si>
    <t>WB/DARJ/78B01/2015/49</t>
  </si>
  <si>
    <t>Phyllite quartzite</t>
  </si>
  <si>
    <t>rock block and damage</t>
  </si>
  <si>
    <t>300m north of Teesta (at 10km milestone)</t>
  </si>
  <si>
    <t>Partial blockage of NH-10 and road banks damaged</t>
  </si>
  <si>
    <t>Anthropogenic quarrying destabilise the slope &amp; vicinity to the fault zone</t>
  </si>
  <si>
    <t>WB/DARJ/78A08/2015/0208</t>
  </si>
  <si>
    <t>Phyllites and Quartzites, Daling Group, Rayang Formation</t>
  </si>
  <si>
    <t>S1: 15?:025?</t>
  </si>
  <si>
    <t>Road cut slide and rock mining area</t>
  </si>
  <si>
    <t>Rayeng, Sivok-Gangtok Road</t>
  </si>
  <si>
    <t>Transportational midslope</t>
  </si>
  <si>
    <t>Settlement</t>
  </si>
  <si>
    <t>Road damaged</t>
  </si>
  <si>
    <t>Slope destablized due to road cut and rainfall</t>
  </si>
  <si>
    <t>WB/DAR/78B05/2015/403</t>
  </si>
  <si>
    <t>QUARTZO-FELDSPATHIC GNEISS</t>
  </si>
  <si>
    <t>NH55  At Km 52 from Siliguri</t>
  </si>
  <si>
    <t>Accumulation of rock debris on the road bench causing partial blockade of the rock.</t>
  </si>
  <si>
    <t>Construction of toe walls in small vulnerable stretches and water management through construction of a network of drainage system</t>
  </si>
  <si>
    <t>Translational / planar failure along  rock-overburden contact</t>
  </si>
  <si>
    <t>WB/DAR/78A08/2015/560</t>
  </si>
  <si>
    <t>Rayeng (NH10)</t>
  </si>
  <si>
    <t>WB/DAR/78A08/2015/37</t>
  </si>
  <si>
    <t>NH-31A 20.8km (27 mile slide) from Sevok(Tiger Bridge) towards  Gangtok</t>
  </si>
  <si>
    <t>Near Km. 20.8 from Sevoke on NH 31A</t>
  </si>
  <si>
    <t>WB/DAR/78A08/2015/38</t>
  </si>
  <si>
    <t>Falling rock blocks has damaged the houses of the locatlity and blocking of road.</t>
  </si>
  <si>
    <t>Construction of network of drainage arrangement.</t>
  </si>
  <si>
    <t>Planar and wedge failure</t>
  </si>
  <si>
    <t>WB/DARJ/78A08/2011/0264</t>
  </si>
  <si>
    <t>Highly weathered, sheared and interbanded sequence of phyllite, schist, slate of Daling Group</t>
  </si>
  <si>
    <t>Accumulation of slide debris on NH-31A and subsidence of road bench</t>
  </si>
  <si>
    <t>Strengthening of slope protection wall with drainage</t>
  </si>
  <si>
    <t>Excessive saturation of overburden material by rain increasing porepressure</t>
  </si>
  <si>
    <t>WB/DAR/78A08/2015/110</t>
  </si>
  <si>
    <t>NH-31A_ 21km from Sevok(Tiger Bridge) towards  Gangtok</t>
  </si>
  <si>
    <t>WB/DAR/78A08/2015/1344</t>
  </si>
  <si>
    <t>WB/DAR/78A08/2015/1160</t>
  </si>
  <si>
    <t>Stabilized</t>
  </si>
  <si>
    <t>DEORALI</t>
  </si>
  <si>
    <t>WB/DAR/78A08/2015/1345</t>
  </si>
  <si>
    <t>WB/DAR/78A08/2015/43</t>
  </si>
  <si>
    <t>NH-31A 28th mile slide from Sevok(Tiger Bridge) towards  Gangtok</t>
  </si>
  <si>
    <t>22.65 km from Sevok(Tiger Bridge) on NH-31A towards  Gangtok</t>
  </si>
  <si>
    <t>Sinking of the road bench and shooting of boulders from top causing disruption of traffic movement.</t>
  </si>
  <si>
    <t>Construction of a series of breast walls from the Lodhama river bed (toe of the slide) up to the road bench, construction of contour drains and catch water drains.</t>
  </si>
  <si>
    <t>Toe erosion by nala</t>
  </si>
  <si>
    <t>WB/DAR/78A08/2015/699</t>
  </si>
  <si>
    <t>6 km south of Tista bazar</t>
  </si>
  <si>
    <t>WB/DARJ/78B05/2015/0105</t>
  </si>
  <si>
    <t>NH10 road collapsed</t>
  </si>
  <si>
    <t>Retaining wall along the valley side of road and lining of nala</t>
  </si>
  <si>
    <t>Percolation of rain water below road, no drains along roadside and toe cutting by nala due to excess water</t>
  </si>
  <si>
    <t>WB/DARJ/78B01/2015/50</t>
  </si>
  <si>
    <t>6 km south of Tista Bazaar</t>
  </si>
  <si>
    <t>Insufficient drainage network could not accomodate heavy rainfall causing uncontrolled surface runoff</t>
  </si>
  <si>
    <t>WB/DAR/78A08/2015/1346</t>
  </si>
  <si>
    <t>WB/DAR/78A08/2015/55</t>
  </si>
  <si>
    <t>NH-31A _ 23.15 km from Sevok(Tiger Bridge) towards  Gangtok</t>
  </si>
  <si>
    <t>23.15 km from Sevok(Tiger Bridge) on NH-31A towards  Gangtok</t>
  </si>
  <si>
    <t>slides needs to be tackled in the up slope regions though construction of proper drainage arrangements, retaining walls (boulder gabion types) and training of the stream course. This slide needs detailed mapping and investigations;Near the road bench, pr</t>
  </si>
  <si>
    <t>WB/DAR/78A08/2015/1516</t>
  </si>
  <si>
    <t>WB/DAR/78A08/2015/54</t>
  </si>
  <si>
    <t>Road blockade and minor damage</t>
  </si>
  <si>
    <t>Breast wall, Road side drain</t>
  </si>
  <si>
    <t>WB/DARJ/78A08/2006/0263</t>
  </si>
  <si>
    <t>Highly weahered and sheared interbanded sequence of phylite, schist, slates with thin clay partings of Daling Group</t>
  </si>
  <si>
    <t>Wash out of NH 31A road bench of length aroud 75m</t>
  </si>
  <si>
    <t>Preparation of several benches from top to the Tista river bench and applying of Geosynthetics on them. Preparation of a complete deep drainage network to take out sub surface run off also.</t>
  </si>
  <si>
    <t>Cutting of the toe of the saturated debris covered slope for the construction of the project power house.</t>
  </si>
  <si>
    <t>WB/DAR/78A08/2015/700</t>
  </si>
  <si>
    <t>On NH-10 (near 5 km milestone from Sevok)</t>
  </si>
  <si>
    <t>WB/DAR/78B05/2015/506</t>
  </si>
  <si>
    <t>LANDSLIDE WITH SUBSIDENCE</t>
  </si>
  <si>
    <t>NG85 E OF KALIJHORA</t>
  </si>
  <si>
    <t>Denudational hill slope</t>
  </si>
  <si>
    <t>WB/DAR/78B05/2015/451</t>
  </si>
  <si>
    <t>NG86 E OF KALIJHORA</t>
  </si>
  <si>
    <t>Cultivated land dmaged, developement of 20-30cm crack with subsidence up to 30cm.</t>
  </si>
  <si>
    <t>Gully Erosion</t>
  </si>
  <si>
    <t>WB/DAR/78B05/2015/505</t>
  </si>
  <si>
    <t>WHOLE AREA IS EXPERIENCING SUBSIDENCE</t>
  </si>
  <si>
    <t>NG84 E OF KALIJHORA</t>
  </si>
  <si>
    <t>WB/DAR/78B05/2015/452</t>
  </si>
  <si>
    <t>NG87 PAMBU KHOLA</t>
  </si>
  <si>
    <t>Agricultual land ,5-15 wide crack with a subsidence of 10-15 cm</t>
  </si>
  <si>
    <t>Gully erosion, toe erosion by Gatta Khola</t>
  </si>
  <si>
    <t>WB/DAR/78B05/2015/453</t>
  </si>
  <si>
    <t>NG88 PAMBU KHOLA</t>
  </si>
  <si>
    <t>Filling of cracks with impervious material like clay , bitumen etc, training of nalas,construction of catchwater drains, redressing of upslopes  and toe protection by constrcting gabbion wall</t>
  </si>
  <si>
    <t>2 houses and culivated lands</t>
  </si>
  <si>
    <t>Gully erosion</t>
  </si>
  <si>
    <t>WB/DAR/78B05/2015/454</t>
  </si>
  <si>
    <t>NG89 PAMBU KHOLA</t>
  </si>
  <si>
    <t>Partial road block due accumulation of slide debris,  slope distress in upslope</t>
  </si>
  <si>
    <t>WB/DAR/78B05/2015/539</t>
  </si>
  <si>
    <t>NG92 NW OF UPPER DONG</t>
  </si>
  <si>
    <t>Proximity to MCT</t>
  </si>
  <si>
    <t>WB/DAR/78B05/2015/611</t>
  </si>
  <si>
    <t>SURUK KHOLA</t>
  </si>
  <si>
    <t>Block failure</t>
  </si>
  <si>
    <t>WB/DAR/78B05/2015/612</t>
  </si>
  <si>
    <t>Road cutting</t>
  </si>
  <si>
    <t>WB/DAR/78B05/2015/609</t>
  </si>
  <si>
    <t>WB/DAR/78B05/2015/458</t>
  </si>
  <si>
    <t>NG94 NAZUK RF</t>
  </si>
  <si>
    <t>100m long stretch of road subsided, maximum subsidence observed 2m.</t>
  </si>
  <si>
    <t>Due to the effect of heavy rain deep gully erosion along the slope and toe cutting by the nala initiated the slide</t>
  </si>
  <si>
    <t>WB/DAR/78B05/2015/433</t>
  </si>
  <si>
    <t>NG106 Nazuk  RF, SURUK KHOLA</t>
  </si>
  <si>
    <t>WB/DAR/78B05/2015/460</t>
  </si>
  <si>
    <t>NG96 NAZUK RF</t>
  </si>
  <si>
    <t>WB/DAR/78B05/2015/459</t>
  </si>
  <si>
    <t>NG95 NAZUK RF</t>
  </si>
  <si>
    <t>100m road bench subsided by 2m</t>
  </si>
  <si>
    <t>Toe erosion</t>
  </si>
  <si>
    <t>WB/DAR/78B05/2015/461</t>
  </si>
  <si>
    <t>NG97 NAZUK RF</t>
  </si>
  <si>
    <t>Sinking zone</t>
  </si>
  <si>
    <t>WB/DAR/78B05/2015/462</t>
  </si>
  <si>
    <t>NG98 NAZUK RF, LOWER DONG</t>
  </si>
  <si>
    <t>WB/DAR/78B05/2015/417</t>
  </si>
  <si>
    <t>NH31A _ 6.8km</t>
  </si>
  <si>
    <t>At Km 6.8 from Sevoke on NH 31A</t>
  </si>
  <si>
    <t>Fall</t>
  </si>
  <si>
    <t>Moderate vegetation</t>
  </si>
  <si>
    <t>Percolation of runoff rainwater below road bench results loosing shearing strength of the material.</t>
  </si>
  <si>
    <t>WB/DAR/78B05/2015/592</t>
  </si>
  <si>
    <t>MANE, SATI KHOLA</t>
  </si>
  <si>
    <t>Afforestation</t>
  </si>
  <si>
    <t>WB/DAR/78B05/2015/693</t>
  </si>
  <si>
    <t>Sati Khola NH31A</t>
  </si>
  <si>
    <t>WB/DAR/78B05/2015/593</t>
  </si>
  <si>
    <t>Retaining wall and drainage management</t>
  </si>
  <si>
    <t>WB/DARJ/78B01/2015/46</t>
  </si>
  <si>
    <t>Phyllite-Quartzite</t>
  </si>
  <si>
    <t>J1=&gt;70-&gt;295,J2=&gt;55-&gt;345, J3=&gt;60-&gt;190, J4=&gt;50-&gt;60</t>
  </si>
  <si>
    <t>Right bank of teesta/200m north of Siti Khola</t>
  </si>
  <si>
    <t>Sparsely vegetated</t>
  </si>
  <si>
    <t>Fault zone nearby, day lighting of joint sets and toe cutting by the river</t>
  </si>
  <si>
    <t>WB/DARJ/78B05/2015/0101</t>
  </si>
  <si>
    <t>J1:70:295;J2:55:345; J3:60:190; J4:50:60</t>
  </si>
  <si>
    <t>Retaining wall with proper chute drain to arrest water percolation from slide zone</t>
  </si>
  <si>
    <t>Fault zone &amp; toe cutting by river &amp; day lighting joint sets</t>
  </si>
  <si>
    <t>WB/DAR/78B05/2015/697</t>
  </si>
  <si>
    <t>Right bank of Tista(200m north of Siti Khola)</t>
  </si>
  <si>
    <t>WB/DAR/78B05/2015/676</t>
  </si>
  <si>
    <t>Mane</t>
  </si>
  <si>
    <t>Low Height Plantation</t>
  </si>
  <si>
    <t>WB/DAR/78B05/2015/410</t>
  </si>
  <si>
    <t>NH31A_8.3km</t>
  </si>
  <si>
    <t>At Km.8.3 from Sevoke on NH-31A</t>
  </si>
  <si>
    <t>Slope distress &amp; road block</t>
  </si>
  <si>
    <t>WB/DAR/78B05/2015/594</t>
  </si>
  <si>
    <t>NH10</t>
  </si>
  <si>
    <t>Road Cutting and toe erosion</t>
  </si>
  <si>
    <t>WB/DAR/78B05/2015/470</t>
  </si>
  <si>
    <t>Settlement over abandoned stream, Ground cracks observed (L-5mts with slip-1mt). Peshoke river direction-110. Slope direction 40 towards  20</t>
  </si>
  <si>
    <t>Luruk</t>
  </si>
  <si>
    <t>Retaining wall with proper drainage to arrest rain water percolation</t>
  </si>
  <si>
    <t>Unplanned settelment</t>
  </si>
  <si>
    <t>WB/DAR/78B05/2015/683</t>
  </si>
  <si>
    <t>Dam Khola NH31A</t>
  </si>
  <si>
    <t>WB/DAR/78B05/2015/674</t>
  </si>
  <si>
    <t>Longku</t>
  </si>
  <si>
    <t>WB/DAR/78B05/2015/673</t>
  </si>
  <si>
    <t>3 SLIDES NEAR BY</t>
  </si>
  <si>
    <t>WB/DAR/78B05/2015/562</t>
  </si>
  <si>
    <t>Rangdhang Basa</t>
  </si>
  <si>
    <t>Slope easing  and developement of drainage network</t>
  </si>
  <si>
    <t>House damaged</t>
  </si>
  <si>
    <t>Planar failure</t>
  </si>
  <si>
    <t>WB/DAR/78B05/2015/672</t>
  </si>
  <si>
    <t>Rangabang Basa</t>
  </si>
  <si>
    <t>WB/DAR/78B05/2015/692</t>
  </si>
  <si>
    <t>Lowe Kundang NH31A</t>
  </si>
  <si>
    <t>Advancing</t>
  </si>
  <si>
    <t>WB/DARJ/78B05/2015/0206</t>
  </si>
  <si>
    <t>Daling Phyllites</t>
  </si>
  <si>
    <t>S1: 25?: 280?; J1: 75?: 135?; J2: 75?: 200?</t>
  </si>
  <si>
    <t>Old slide</t>
  </si>
  <si>
    <t>Mangpo-Darjeeling road</t>
  </si>
  <si>
    <t>Slow</t>
  </si>
  <si>
    <t>Failure plane is J1: 75?:135? which is parallel to road and augmented due to road cut</t>
  </si>
  <si>
    <t>WB/DAR/78B05/2015/397</t>
  </si>
  <si>
    <t>NH31A _ Berrik slide</t>
  </si>
  <si>
    <t>At Km 12 frm Sevoke on NH 31A</t>
  </si>
  <si>
    <t>Cultivated land</t>
  </si>
  <si>
    <t>Piping and slide has aggravated the general slope condition</t>
  </si>
  <si>
    <t>WB/DAR/78B05/2015/682</t>
  </si>
  <si>
    <t>Birik NH31A</t>
  </si>
  <si>
    <t>Wedge Failure</t>
  </si>
  <si>
    <t>WB/DAR/78B05/2015/528</t>
  </si>
  <si>
    <t>NH31A _14.55 Km</t>
  </si>
  <si>
    <t>WB/DAR/78B05/2015/681</t>
  </si>
  <si>
    <t>WB/DAR/78B05/2015/537</t>
  </si>
  <si>
    <t>OLD SLIDE STABLIZED</t>
  </si>
  <si>
    <t>NG91 SE OF UPPER DONG</t>
  </si>
  <si>
    <t>Reduction of shear strength  due to heavy rain</t>
  </si>
  <si>
    <t>WB/DAR/78B05/2015/529</t>
  </si>
  <si>
    <t>NH31A _15.2 Km</t>
  </si>
  <si>
    <t>Wedge failure</t>
  </si>
  <si>
    <t>WB/DARJ/78B05/2015/0209</t>
  </si>
  <si>
    <t>Phyllites, Daling Group, Rayang Formation</t>
  </si>
  <si>
    <t>Rombi, near IB, PWD, Sivok-Gangtok Road</t>
  </si>
  <si>
    <t>WB/DAR/78B05/2015/669</t>
  </si>
  <si>
    <t>Rambi Bazar</t>
  </si>
  <si>
    <t>WB/DAR/78B05/2015/596</t>
  </si>
  <si>
    <t>Gneiss (Lingtse Formation)</t>
  </si>
  <si>
    <t>RAMBI KHOLA</t>
  </si>
  <si>
    <t>WB/DARJ/78B05/2015/0207</t>
  </si>
  <si>
    <t>S1: 50?:290?; J1:85?:300?; J2: 60?:130?;</t>
  </si>
  <si>
    <t>Rambi, Sivok-Gangtok Road</t>
  </si>
  <si>
    <t>WB/DAR/78B05/2015/670</t>
  </si>
  <si>
    <t>NH31A Rambi Bazar</t>
  </si>
  <si>
    <t>WB/DAR/78B05/2015/438</t>
  </si>
  <si>
    <t>MahanadiWLS</t>
  </si>
  <si>
    <t>WB/DAR/78B05/2015/576</t>
  </si>
  <si>
    <t>Mahanadi WLS</t>
  </si>
  <si>
    <t>WB/DAR/78B05/2015/615</t>
  </si>
  <si>
    <t>Karmat</t>
  </si>
  <si>
    <t>Water seepage and piping</t>
  </si>
  <si>
    <t>WB/DAR/78B05/2015/399</t>
  </si>
  <si>
    <t>Road bench</t>
  </si>
  <si>
    <t>Toe support by construction of concrete retaining wall and box drain on the road side to channelized runoff water.</t>
  </si>
  <si>
    <t>WB/DAR/78B05/2015/515</t>
  </si>
  <si>
    <t>Khali Khola</t>
  </si>
  <si>
    <t>Toe cutting by nala</t>
  </si>
  <si>
    <t>WB/DAR/78B05/2015/478</t>
  </si>
  <si>
    <t>Sandstone, clay, shale, conglomerate</t>
  </si>
  <si>
    <t>Area lies in sinking zone and debris are mostly weathered mica schist.</t>
  </si>
  <si>
    <t>NH31A_2.5km</t>
  </si>
  <si>
    <t>Construction of culvert perpendicular to stream flow direction and immediate measures to seal cracks.</t>
  </si>
  <si>
    <t>WB/DAR/78B05/2015/586</t>
  </si>
  <si>
    <t>WB/DAR/78B05/2015/597</t>
  </si>
  <si>
    <t>LATPANCHOR</t>
  </si>
  <si>
    <t>WB/DAR/78B05/2015/436</t>
  </si>
  <si>
    <t>Near public work department</t>
  </si>
  <si>
    <t>WB/DAR/78B05/2015/430</t>
  </si>
  <si>
    <t>WB/DAR/78B05/2015/437</t>
  </si>
  <si>
    <t>WB/DAR/78B05/2015/502</t>
  </si>
  <si>
    <t>NG72 SE OF KALIJHORA</t>
  </si>
  <si>
    <t>Box culvert</t>
  </si>
  <si>
    <t>WB/DAR/78B05/2015/588</t>
  </si>
  <si>
    <t>SIX MILE</t>
  </si>
  <si>
    <t>WB/DAR/78B05/2015/504</t>
  </si>
  <si>
    <t>TREE BENDING OBSERVED</t>
  </si>
  <si>
    <t>NG79 SE OF KALIJHORA</t>
  </si>
  <si>
    <t>Nala training</t>
  </si>
  <si>
    <t>WB/DAR/78B05/2015/398</t>
  </si>
  <si>
    <t>Mana Slide</t>
  </si>
  <si>
    <t>Entire village is sinking</t>
  </si>
  <si>
    <t>Piping of fill material due to high surface run-off.</t>
  </si>
  <si>
    <t>WB/DAR/78B05/2015/665</t>
  </si>
  <si>
    <t>PWD, NH10</t>
  </si>
  <si>
    <t>WB/DAR/78B05/2015/589</t>
  </si>
  <si>
    <t>KARMAT</t>
  </si>
  <si>
    <t>WB/DAR/78B05/2015/686</t>
  </si>
  <si>
    <t>Aintar</t>
  </si>
  <si>
    <t>WB/DAR/78B05/2015/551</t>
  </si>
  <si>
    <t>Karmote</t>
  </si>
  <si>
    <t>Karmote village( 7.5 km) on Kalijhora-Latpanchar road</t>
  </si>
  <si>
    <t>WB/DAR/78B05/2015/685</t>
  </si>
  <si>
    <t>WB/DAR/78B05/2015/435</t>
  </si>
  <si>
    <t>Khalijhora</t>
  </si>
  <si>
    <t>WB/DAR/78B05/2015/694</t>
  </si>
  <si>
    <t>WB/DAR/78B05/2015/684</t>
  </si>
  <si>
    <t>WB/DAR/78B05/2015/590</t>
  </si>
  <si>
    <t>Retaining wall and afforestation</t>
  </si>
  <si>
    <t>WB/DAR/78B05/2015/591</t>
  </si>
  <si>
    <t>SATI KHOLA</t>
  </si>
  <si>
    <t>WB/DAR/78B05/2015/577</t>
  </si>
  <si>
    <t>CONNECTING ROAD B/W DALEPCHAND &amp; PAYONG WASHED AWAY</t>
  </si>
  <si>
    <t>MAHANADI WLS</t>
  </si>
  <si>
    <t>WB/DAR/78B05/2015/519</t>
  </si>
  <si>
    <t>Sivok</t>
  </si>
  <si>
    <t>WB/DAR/78B05/2015/441</t>
  </si>
  <si>
    <t>Mahandi WLS</t>
  </si>
  <si>
    <t>Aggravates during excessive rainfall</t>
  </si>
  <si>
    <t>WB/DAR/78B05/2015/440</t>
  </si>
  <si>
    <t>WB/DAR/78B05/2015/434</t>
  </si>
  <si>
    <t>Mahanadi Wild life</t>
  </si>
  <si>
    <t>WB/DAR/78B05/2015/579</t>
  </si>
  <si>
    <t>WB/DAR/78B05/2015/587</t>
  </si>
  <si>
    <t>WB/DAR/78B05/2015/439</t>
  </si>
  <si>
    <t>Agricultural land</t>
  </si>
  <si>
    <t>WB/DAR/78A08/2015/45</t>
  </si>
  <si>
    <t>NH-31A 34.90 km from Sevok(Tiger Bridge) towards  Gangtok</t>
  </si>
  <si>
    <t>34.90 km from Sevok(Tiger Bridge) on NH-31A towards  Gangtok</t>
  </si>
  <si>
    <t>Rolling and shooting boulders from top causing road blockae</t>
  </si>
  <si>
    <t>Easing of slope, construction of benches and sausage walls along the benches and afforestation</t>
  </si>
  <si>
    <t>WB/DAR/78A08/2015/1518</t>
  </si>
  <si>
    <t>MUNICIPALITY WARD NO.17, ORIGIN OF RAJA JHORA</t>
  </si>
  <si>
    <t>NEAR CHALISAY GAON,CHIBBO,KALIMPONG</t>
  </si>
  <si>
    <t>WB/DAR/78A08/2015/46</t>
  </si>
  <si>
    <t>NH-31A 35.05 km from Sevok (Tiger Bridge) towards  Gangtok</t>
  </si>
  <si>
    <t>35.05 km from Sevok (Tiger Bridge) on NH-31A towards  Gangtok</t>
  </si>
  <si>
    <t>Appreciable sinking of the road bench along with considerable lateral displacement in case of heavy to very rainfall, causing total destruction of the road bench.</t>
  </si>
  <si>
    <t>Construction of a netwrork of drainage arrangement for draining out of all surface and sub surface run off and sealing of all cracks.</t>
  </si>
  <si>
    <t>SKM/SS/78A08/2015/253</t>
  </si>
  <si>
    <t>S1=290/40???NE</t>
  </si>
  <si>
    <t>Niranjan Kumar et al., 2016. Macro-scale (1:50,000) landslide susceptibility Mapping in parts of toposheets no. 78A/7, 8, 11, 12, East, South and West districts, Sikkim. Unpub. GSI report of FS 2015-2016.</t>
  </si>
  <si>
    <t>Sikkim</t>
  </si>
  <si>
    <t>South Sikkim</t>
  </si>
  <si>
    <t>Pachekhani-Melli Road</t>
  </si>
  <si>
    <t>Extensive slope cut</t>
  </si>
  <si>
    <t>Construction of the Retaining wall</t>
  </si>
  <si>
    <t>Slope cutting for road construction</t>
  </si>
  <si>
    <t>WB/DARJ/78A08/2007/0290</t>
  </si>
  <si>
    <t>Schists/ Phyllites of Daling Group</t>
  </si>
  <si>
    <t>Foliation: 75?:225?; J1: 50?: 240?</t>
  </si>
  <si>
    <t>74A08</t>
  </si>
  <si>
    <t>&lt;a href=""http://employee.gsi.gov.in/cs/groups/public/documents/document/b3zp/mtyx/~edisp/dcport1gsigovi161336.jpg"" target=""_blank""&gt;Image&lt;/a&gt;</t>
  </si>
  <si>
    <t>36.49 km from Sevok  (Tiger Bridge) on NH-31A towards Gangtok</t>
  </si>
  <si>
    <t>Breast wall with provision of drainage holes</t>
  </si>
  <si>
    <t>SKM/SS/78A08/2015/248</t>
  </si>
  <si>
    <t>S1=340/20???NE</t>
  </si>
  <si>
    <t>Colluvial midslope</t>
  </si>
  <si>
    <t>SKM/SS/78A08/2015/252</t>
  </si>
  <si>
    <t>No exposure</t>
  </si>
  <si>
    <t>-</t>
  </si>
  <si>
    <t>WB/DARJ/78A08/2013/0313</t>
  </si>
  <si>
    <t>Road bench damaged.</t>
  </si>
  <si>
    <t>Poor drainage upslope, presence of village.</t>
  </si>
  <si>
    <t>WB/DAR/78A08/2015/135</t>
  </si>
  <si>
    <t>Nushrigaon</t>
  </si>
  <si>
    <t>WB/DAR/78A08/2015/1517</t>
  </si>
  <si>
    <t>Fol: 45 towards 340, J1: 45 towards 90, J2: 65 towards 300,  J3: 70 towards 200</t>
  </si>
  <si>
    <t>POCHOK</t>
  </si>
  <si>
    <t>WB/DAR/78A08/2015/149</t>
  </si>
  <si>
    <t>8th Mile,</t>
  </si>
  <si>
    <t>8th Mile, Kalimpong</t>
  </si>
  <si>
    <t>WB/DAR/78A08/2015/154</t>
  </si>
  <si>
    <t>WB/DARJ/78A08/2015/0174</t>
  </si>
  <si>
    <t>8th Mile</t>
  </si>
  <si>
    <t>Settelment, Agriculture</t>
  </si>
  <si>
    <t>Retaining wall with proper drainage system/chute drains to divert drainage water from slide zone.</t>
  </si>
  <si>
    <t>Road, Houses</t>
  </si>
  <si>
    <t>Retaining wall failure due to percolation of drain water which resulted in loss shearing strength of overburden material. Foundation of retaining wall disturbed due to cultivation at down contours.</t>
  </si>
  <si>
    <t>WB/DARJ/78B01/2015/84</t>
  </si>
  <si>
    <t>Road bench as crown portion of slide.</t>
  </si>
  <si>
    <t>Settlement and agriculture</t>
  </si>
  <si>
    <t>Road and houses damaged</t>
  </si>
  <si>
    <t>Retaining wall failure due to percolation of drain water from road bench, which resulted in loss of shearing strength of overburden material. Foundation of retaining wall disturbed due to cultivation at down contours.</t>
  </si>
  <si>
    <t>WB/DAR/78A08/2015/1342</t>
  </si>
  <si>
    <t>NURSERY GAON,8 MILE, KALIMPONG</t>
  </si>
  <si>
    <t>WB/DAR/78A08/2015/39</t>
  </si>
  <si>
    <t>2 km from Kalimpong town towards  Algara</t>
  </si>
  <si>
    <t>Shallow rotational failure</t>
  </si>
  <si>
    <t>This slide has caused extensive damage to the village road and totally washed out one culvert.</t>
  </si>
  <si>
    <t>Training of both the Jhoras,construction of toe wall,hill side diversion of road bench</t>
  </si>
  <si>
    <t>WB/DARJ/78A08/2006/0307</t>
  </si>
  <si>
    <t>Phylite and mica schist of Daling Group</t>
  </si>
  <si>
    <t>Extensive damage to the existing road benches, causeway and guard walls.</t>
  </si>
  <si>
    <t>2 km from Kalimpong town towards Algara</t>
  </si>
  <si>
    <t>Moderate Vegetation</t>
  </si>
  <si>
    <t>Road benches damaged</t>
  </si>
  <si>
    <t>Jhoras to be properly trained, construction of guard walls and afforestation.</t>
  </si>
  <si>
    <t>Causeway and guard walls damaged</t>
  </si>
  <si>
    <t>Headward and channel erosion during rainy season by the jhoras flowing in this area.</t>
  </si>
  <si>
    <t>WB/DAR/78A08/2015/88</t>
  </si>
  <si>
    <t>NH-31A 33.40km from Sevok(Tiger Bridge) towards  Gangtok</t>
  </si>
  <si>
    <t>33.40km from Sevok(Tiger Bridge) on NH-31A towards  Gangtok</t>
  </si>
  <si>
    <t>WB/DARJ/78A08/2007/0283</t>
  </si>
  <si>
    <t>Colluvium (thin)</t>
  </si>
  <si>
    <t>Minor road blockade, valley side road bench damaged for ~10m</t>
  </si>
  <si>
    <t>33.40km from Sevok(Tiger Bridge) on NH-31A towards Gangtok</t>
  </si>
  <si>
    <t>WB/DAR/78A08/2015/34</t>
  </si>
  <si>
    <t>NH-31A  Melli Slide-I</t>
  </si>
  <si>
    <t>Near Km. 33 from Sevoke on NH 31A</t>
  </si>
  <si>
    <t>Road subsided for 40m. stretch</t>
  </si>
  <si>
    <t>Gully erosion, toe cutting and piping</t>
  </si>
  <si>
    <t>WB/DAR/78A08/2015/1539</t>
  </si>
  <si>
    <t>Bong Busty (Near Sadhu Jhora), Kalimpong</t>
  </si>
  <si>
    <t>BONG BUSTY,KALIMPONG</t>
  </si>
  <si>
    <t>WB/DAR/78A08/2015/44</t>
  </si>
  <si>
    <t>NH-31A 34.63 km from Sevok(Tiger Bridge) towards  Gangtok</t>
  </si>
  <si>
    <t>34.63 km from Sevok(Tiger Bridge) on NH-31A towards  Gangtok</t>
  </si>
  <si>
    <t>Rolling boulders along the stream course used to damage any structure built across this stream.</t>
  </si>
  <si>
    <t>Training of left bank Sarju khla, construction of some check walls between crown and road level and construction of a deep culvert on this khola.</t>
  </si>
  <si>
    <t>Both headward and channelerosion along the khola course.</t>
  </si>
  <si>
    <t>WB/DARJ/78A08/1968/0284</t>
  </si>
  <si>
    <t>Phyllite, quartzite and phyllitic quartzite of Daling Group</t>
  </si>
  <si>
    <t>Sinking of the road bench and accumulation of slide debris on the road bench.</t>
  </si>
  <si>
    <t>Construction  of  toe retaining wall to check subsidence of the groundmass and construction of network of drainage.</t>
  </si>
  <si>
    <t>Toe erosion by Tista river, sheet erosion along the slope.</t>
  </si>
  <si>
    <t>WB/DARJ/78A08/2007/0285</t>
  </si>
  <si>
    <t>Loose, unconsolidated colluvium</t>
  </si>
  <si>
    <t>Road blockade by fallen debris</t>
  </si>
  <si>
    <t>&lt;a href=""http://employee.gsi.gov.in/cs/groups/public/documents/document/b3zp/mtyx/~edisp/dcport1gsigovi161335.jpg"" target=""_blank""&gt;Image&lt;/a&gt;</t>
  </si>
  <si>
    <t>34.63 km from Sevok (Tiger Bridge) on NH-31A towards Gangtok</t>
  </si>
  <si>
    <t>Construction of culvert, if needed, to allow the passage of debris flow</t>
  </si>
  <si>
    <t>SKM/SS/78A08/2015/259</t>
  </si>
  <si>
    <t>S1=295/40???NE</t>
  </si>
  <si>
    <t>Melli-Sumbuk Road</t>
  </si>
  <si>
    <t>WB/DAR/78A08/2015/1177</t>
  </si>
  <si>
    <t>Fol: 20 towards  310, J1: 80 towards 110</t>
  </si>
  <si>
    <t>TAKLING</t>
  </si>
  <si>
    <t>WB/DAR/78A08/2015/1178</t>
  </si>
  <si>
    <t>SK/EAST/78A08/2015/0223</t>
  </si>
  <si>
    <t>Chlorite sericite schist, Daling Group, Gorubathan Formation</t>
  </si>
  <si>
    <t xml:space="preserve"> East Sikkim</t>
  </si>
  <si>
    <t>&lt;a href=""http://employee.gsi.gov.in/cs/groups/public/documents/document/b3zp/mtyx/~edisp/dcport1gsigovi161339.jpg"" target=""_blank""&gt;Image&lt;/a&gt;</t>
  </si>
  <si>
    <t>Melli bridge-Smbuk RF Road</t>
  </si>
  <si>
    <t>Forest</t>
  </si>
  <si>
    <t>Retaining walls</t>
  </si>
  <si>
    <t>Slope destablized due to road cut</t>
  </si>
  <si>
    <t>SKM/SS/78A08/2015/258</t>
  </si>
  <si>
    <t>SKM/SS/78A08/2015/257</t>
  </si>
  <si>
    <t>WB/DAR/78A08/2015/1408</t>
  </si>
  <si>
    <t>Phyllite with quartzite</t>
  </si>
  <si>
    <t>NH-31A Tista Bridge slide</t>
  </si>
  <si>
    <t>Complex</t>
  </si>
  <si>
    <t>Near Km. 29 from Sevoke on NH 31A</t>
  </si>
  <si>
    <t>WB/DAR/78A08/2015/1159</t>
  </si>
  <si>
    <t>PESHOK</t>
  </si>
  <si>
    <t>WB/DAR/78A08/2015/141</t>
  </si>
  <si>
    <t>Near Peshoke bridge</t>
  </si>
  <si>
    <t>Kalimpong Sub-division</t>
  </si>
  <si>
    <t>WB/DAR/78A08/2015/1319</t>
  </si>
  <si>
    <t>Mica schist</t>
  </si>
  <si>
    <t>Near Peshoke bridge,</t>
  </si>
  <si>
    <t>WB/KALI/78A08/2015/0171</t>
  </si>
  <si>
    <t>Settlement over abandoned nala, Ground cracks observed (L-5m with slip 1m). Peshoke river direction-110?. Slope direction 40? towards 20?</t>
  </si>
  <si>
    <t>Teesta bazar</t>
  </si>
  <si>
    <t>SettelmenT</t>
  </si>
  <si>
    <t>Proper drainage to arrest rain water percolation and retaining wall.</t>
  </si>
  <si>
    <t xml:space="preserve"> Houses</t>
  </si>
  <si>
    <t>Unplanned settlement over abandoned nala result loosing of shearing strength of overburden material.</t>
  </si>
  <si>
    <t>WB/DAR/78A08/2015/33</t>
  </si>
  <si>
    <t>Insitu soil</t>
  </si>
  <si>
    <t>NH-31A 30 km from Sevok(Tiger Bridge) towards  Gangtok</t>
  </si>
  <si>
    <t>Km 30 on NH 31A</t>
  </si>
  <si>
    <t>This slide has caused extensive damage to the Bijanbari road and caused damage to some houses within the tea estate.</t>
  </si>
  <si>
    <t>Oversaturation of the debris material</t>
  </si>
  <si>
    <t>WB/DAR/78A08/2015/148</t>
  </si>
  <si>
    <t>WB/DAR/78A08/2015/152</t>
  </si>
  <si>
    <t>WB/DARJ/78B01/2015/83</t>
  </si>
  <si>
    <t>Requirement of proper drainage system on road side</t>
  </si>
  <si>
    <t>Part of road damaged</t>
  </si>
  <si>
    <t>WB/DAR/78A08/2015/1514</t>
  </si>
  <si>
    <t>MELLI ROAD</t>
  </si>
  <si>
    <t>MELLI ROAD, KALIMPONG</t>
  </si>
  <si>
    <t>WB/DAR/78A08/2015/84</t>
  </si>
  <si>
    <t>Chitrey (near Kalimpong road crossing)</t>
  </si>
  <si>
    <t>Chitrey (near Kalimpong road crossing</t>
  </si>
  <si>
    <t>WB/DAR/78A08/2015/85</t>
  </si>
  <si>
    <t>NH-31A Lepchajhora from Sevok(Tiger Bridge) towards  Gangtok</t>
  </si>
  <si>
    <t>Lepchajhora, 30.10 km from Sevok(Tiger Bridge) on NH-31A towards  Gangtok</t>
  </si>
  <si>
    <t>WB/DAR/78A08/2015/86</t>
  </si>
  <si>
    <t>NH-31A 30.15 km from Sevok(Tiger Bridge) towards  Gangtok</t>
  </si>
  <si>
    <t>30.15 km from Sevok(Tiger Bridge) on NH-31A towards  Gangtok</t>
  </si>
  <si>
    <t>WB/DAR/78A08/2015/1358</t>
  </si>
  <si>
    <t>WB/DAR/78A08/2015/1359</t>
  </si>
  <si>
    <t>MELLI ROAD, NEAR BRIDGE</t>
  </si>
  <si>
    <t>WB/DARJ/78A08/2011/0279</t>
  </si>
  <si>
    <t>Crack on pier</t>
  </si>
  <si>
    <t>WB/DARJ/78A08/2007/0278</t>
  </si>
  <si>
    <t>&lt;a href=""http://employee.gsi.gov.in/cs/groups/public/documents/document/b3zp/mtyx/~edisp/dcport1gsigovi161333.jpg"" target=""_blank""&gt;Image&lt;/a&gt;</t>
  </si>
  <si>
    <t>30.15 km from Sevok(Tiger Bridge) on NH-31A towards Gangtok</t>
  </si>
  <si>
    <t>WB/DARJ/78A08/0274</t>
  </si>
  <si>
    <t>Phyllites and interbands of phyllite and quartzite of Daling Group</t>
  </si>
  <si>
    <t>As the slide is located away from National Highway it is not creating any trouble to road bench.</t>
  </si>
  <si>
    <t>Toe erosion by Tista river. Deep gully and sheet erosion. Within the rocky parts planar failure is dominant.</t>
  </si>
  <si>
    <t>WB/DARJ/78A08/1968/0275</t>
  </si>
  <si>
    <t>Clayey overburden underlain by phyllites dipping 40 towards S70W (towards valley)</t>
  </si>
  <si>
    <t>Rainfall of 1968</t>
  </si>
  <si>
    <t>Heavy sinking of road bench</t>
  </si>
  <si>
    <t>Earth</t>
  </si>
  <si>
    <t>Dripping and flowing</t>
  </si>
  <si>
    <t>Check walls on Lepcha Jhora to arrest movement of debris, spurs in the upstream of Tista bank to check toe erosion</t>
  </si>
  <si>
    <t>Loose unconsolidated overburden losing shear strength on supersaturation during monsoon with toe erosion by Tista</t>
  </si>
  <si>
    <t>WB/DARJ/78A08/2007/0277</t>
  </si>
  <si>
    <t>Due to two small translational debris slides, both the abutments of Lepchajhora bridge are severely damaged</t>
  </si>
  <si>
    <t>&lt;a href=""http://employee.gsi.gov.in/cs/groups/public/documents/document/b3zp/mtyx/~edisp/dcport1gsigovi161332.jpg"" target=""_blank""&gt;Image&lt;/a&gt;</t>
  </si>
  <si>
    <t>Lepchajhora, 30.10 km from Sevok (Tiger Bridge) on NH-31A towards Gangtok</t>
  </si>
  <si>
    <t>Repair of retaining walls on the abutments; training of Lepcha Jhora</t>
  </si>
  <si>
    <t>Toe erosion by Lepchajhora</t>
  </si>
  <si>
    <t>WB/DARJ/78A08/2007/0276</t>
  </si>
  <si>
    <t>Road fill material and colluvium,bedrock is available at shallower depth (&lt;3-4m)</t>
  </si>
  <si>
    <t>Road bench ~25m failed; road becomes narrow</t>
  </si>
  <si>
    <t>Retaining structure (boulder gabions) from river bed up to road bench; the retaining structure needs to be founded on rock. Repair and maintenance of hill side lined drain on NH-31A</t>
  </si>
  <si>
    <t>SKM/SS/78A08/2015/256</t>
  </si>
  <si>
    <t>S1=300/45???NE</t>
  </si>
  <si>
    <t>WB/DAR/78A08/2015/1404</t>
  </si>
  <si>
    <t>WB/DAR/78A08/2015/1403</t>
  </si>
  <si>
    <t>WB/DAR/78A08/2015/114</t>
  </si>
  <si>
    <t>NH-31A</t>
  </si>
  <si>
    <t>WB/DAR/78A08/2015/1399</t>
  </si>
  <si>
    <t>WB/DAR/78A08/2015/124</t>
  </si>
  <si>
    <t>Lower Pashyer near 3rd mile Kalimpong</t>
  </si>
  <si>
    <t>WB/DAR/78A08/2015/1355</t>
  </si>
  <si>
    <t>3 miloe Pashyor</t>
  </si>
  <si>
    <t>3 MILE,KALIMPONG</t>
  </si>
  <si>
    <t>WB/DAR/78A08/2015/36</t>
  </si>
  <si>
    <t>NH-31A 33 km from Sevok(Tiger Bridge) towards  Gangtok</t>
  </si>
  <si>
    <t>Km 33 on NH 31A</t>
  </si>
  <si>
    <t>WB/DARJ/78A08/1969/0280</t>
  </si>
  <si>
    <t>Loose unconsoildated scree and talus</t>
  </si>
  <si>
    <t>Rainfall during 1969 monsoon</t>
  </si>
  <si>
    <t>&lt;a href=""http://employee.gsi.gov.in/cs/groups/public/documents/document/b3zp/mtyx/~edisp/dcport1gsigovi161334.jpg"" target=""_blank""&gt;Image&lt;/a&gt;</t>
  </si>
  <si>
    <t>oist</t>
  </si>
  <si>
    <t>Breast walls on uphill side after providing suitable berms and benches, drainage arrangements etc.</t>
  </si>
  <si>
    <t>Loose unconsolidated overburden losing shear strength on supersaturation during monsoon with toe erosion due to road cutting</t>
  </si>
  <si>
    <t>SKM/SS/78A08/2015/255</t>
  </si>
  <si>
    <t>WB/DAR/78A08/2015/1326</t>
  </si>
  <si>
    <t>MICA SCHIST AND PHYLLITE</t>
  </si>
  <si>
    <t>Fol: 25 towards  50</t>
  </si>
  <si>
    <t>5 MILE SLIDE</t>
  </si>
  <si>
    <t>5 MILE JUNCTION, KALIMPONG</t>
  </si>
  <si>
    <t>WB/DARJ/78A12/2007/0042</t>
  </si>
  <si>
    <t>Phyllite under overburden/debris cover</t>
  </si>
  <si>
    <t>Foliation 40?:60?, J1- 50?:220?</t>
  </si>
  <si>
    <t xml:space="preserve"> Landslide inventory along Gorubathan-Lava-Alagara-Kalimpong-Chtre Road, Darjelling District, West Bengal by T.B. Ghoshal &amp; N.K. Sarkar, EG division ER. FS-2007-08,  Inventory No. LHIM_WB_2007_050</t>
  </si>
  <si>
    <t>Heavy rainfall</t>
  </si>
  <si>
    <t>78A12</t>
  </si>
  <si>
    <t>4th mile</t>
  </si>
  <si>
    <t>WB_DARJ_78A12_2007_0042.jpg</t>
  </si>
  <si>
    <t>WB_DARJ_78A12_2007_0042.pdf</t>
  </si>
  <si>
    <t>4 mile from Chitre towards Algara on Chitre-Algara road</t>
  </si>
  <si>
    <t>Road and moderate vegetation</t>
  </si>
  <si>
    <t>Cracks developed on both upper and lower level roads</t>
  </si>
  <si>
    <t>Construction of retaining wall at the toe of the slide with proper drainage and sealing of the cracks</t>
  </si>
  <si>
    <t>Planar failure along joint due to reduction of shearing strength</t>
  </si>
  <si>
    <t>WB/DARJ/78A12/2007/0043</t>
  </si>
  <si>
    <t>Chitre Junction</t>
  </si>
  <si>
    <t>WB_DARJ_78A12_2007_0043.jpg</t>
  </si>
  <si>
    <t>WB_DARJ_78A12_2007_0043.pdf</t>
  </si>
  <si>
    <t>0.5 mile from Chitre towards Algara on Chitre-Algara road</t>
  </si>
  <si>
    <t>Road damaged due to development of subsidence cracks</t>
  </si>
  <si>
    <t>Retaining wall at the lower road bench with proper drainage system</t>
  </si>
  <si>
    <t>Piping of finer material through subsurface flow</t>
  </si>
  <si>
    <t>SKM/SS/78A08/2015/254</t>
  </si>
  <si>
    <t>WB/DARJ/78A08/2011/0281</t>
  </si>
  <si>
    <t>WB/DAR/78A08/2015/1357</t>
  </si>
  <si>
    <t>WB/DAR/78A08/2015/115</t>
  </si>
  <si>
    <t>WB/DAR/78A08/2015/1401</t>
  </si>
  <si>
    <t>WB/DAR/78A08/2015/1356</t>
  </si>
  <si>
    <t>MELLI ROAD NEAR BAZAR</t>
  </si>
  <si>
    <t>WB/DAR/78A08/2015/87</t>
  </si>
  <si>
    <t>NH-31A 33.15 km from Sevok(Tiger Bridge) towards  Gangtok</t>
  </si>
  <si>
    <t>33.15 km from Sevok(Tiger Bridge) on NH-31A towards  Gangtok</t>
  </si>
  <si>
    <t>WB/DARJ/78A08/2007/0282</t>
  </si>
  <si>
    <t>33.15 km from Sevok(Tiger Bridge) on NH-31A towards Gangtok</t>
  </si>
  <si>
    <t>Breast wall and repair of roadside drain</t>
  </si>
  <si>
    <t>WB/DAR/78A08/2015/125</t>
  </si>
  <si>
    <t>Salikhop (8th Mile) near Kalimpong</t>
  </si>
  <si>
    <t>Salikhop near Kalimpong</t>
  </si>
  <si>
    <t>Anthropogenic activity</t>
  </si>
  <si>
    <t>WB/DARJ/78A08/2012/0311</t>
  </si>
  <si>
    <t>Road bench above is sinking</t>
  </si>
  <si>
    <t>Piping and toe erosion has aggravated the slope condition</t>
  </si>
  <si>
    <t>WB/DAR/78A08/2015/1343</t>
  </si>
  <si>
    <t>7 MILE, KALIMPONG</t>
  </si>
  <si>
    <t>7 MILE KALIMPONG</t>
  </si>
  <si>
    <t>SKM/SS/78A08/2015/250</t>
  </si>
  <si>
    <t>Rainfall/ Earthquake</t>
  </si>
  <si>
    <t>SKM/SS/78A08/2015/251</t>
  </si>
  <si>
    <t>S1=40/50???SE, J1=90/35???N,J2=320/80???SW</t>
  </si>
  <si>
    <t>SKM/SS/78A08/2015/249</t>
  </si>
  <si>
    <t>S1=330/24???NE, J1=320/80???SW,J2=270/65???N</t>
  </si>
  <si>
    <t>WB/DAR/78B05/2015/608</t>
  </si>
  <si>
    <t>WB/DAR/78A08/2015/1409</t>
  </si>
  <si>
    <t>road damage</t>
  </si>
  <si>
    <t>WB/DAR/78B05/2015/507</t>
  </si>
  <si>
    <t>NG104 NAZUK RF, SAMTHA KHOLA</t>
  </si>
  <si>
    <t>Old nala course</t>
  </si>
  <si>
    <t>WB/DAR/78B05/2015/432</t>
  </si>
  <si>
    <t>NG105 Nazuk  RF, SURUK KHOLA</t>
  </si>
  <si>
    <t>WB/DAR/78A08/2015/1410</t>
  </si>
  <si>
    <t>road subside and cracks in retaining wall</t>
  </si>
  <si>
    <t>WB/DAR/78B05/2015/450</t>
  </si>
  <si>
    <t>NG83 E OF KALIJHORA</t>
  </si>
  <si>
    <t>WB/DAR/78B05/2015/613</t>
  </si>
  <si>
    <t>BARA SURUK</t>
  </si>
  <si>
    <t>WB/DAR/78B05/2015/516</t>
  </si>
  <si>
    <t>NH10 juntion rang khola</t>
  </si>
  <si>
    <t>WB/DAR/78B05/2015/475</t>
  </si>
  <si>
    <t>Earthen, unlined drainage is too small to carry run-off water which percolates below road</t>
  </si>
  <si>
    <t>NH31A_ Hatisur (1.8 km)</t>
  </si>
  <si>
    <t>Proper concrete retaining wall and side drainage to divert water from slide zone.</t>
  </si>
  <si>
    <t>WB/DAR/78B05/2015/542</t>
  </si>
  <si>
    <t>NH31A _2 km</t>
  </si>
  <si>
    <t>2 km on NH-31A</t>
  </si>
  <si>
    <t>Reduction of shear strength due to heavy rain</t>
  </si>
  <si>
    <t>WB/DAR/78B05/2015/517</t>
  </si>
  <si>
    <t>NH 10 junction rang Khola</t>
  </si>
  <si>
    <t>High rainfall and absence of drainage system.</t>
  </si>
  <si>
    <t>WB/DAR/78B05/2015/584</t>
  </si>
  <si>
    <t>WB/DAR/78B05/2015/518</t>
  </si>
  <si>
    <t>NH 10 cornation bridge</t>
  </si>
  <si>
    <t>WB/DAR/78B05/2015/585</t>
  </si>
  <si>
    <t>Highly weathered and sheared rock mass with adverse orientation of structural planes after saturation loose its strength and initiates sliding</t>
  </si>
  <si>
    <t>WB/DAR/78B05/2015/521</t>
  </si>
  <si>
    <t>NH31A_1 km</t>
  </si>
  <si>
    <t>WB/DAR/78B05/2015/425</t>
  </si>
  <si>
    <t>NH31A_0.8km</t>
  </si>
  <si>
    <t>Road bench sinking</t>
  </si>
  <si>
    <t>WB/DAR/78B05/2015/424</t>
  </si>
  <si>
    <t>NH31A_Coronation Bridge</t>
  </si>
  <si>
    <t>WB/DAR/78B05/2015/520</t>
  </si>
  <si>
    <t>ROAD BENCH SUBSIDENCE</t>
  </si>
  <si>
    <t>NH 10 Sivok</t>
  </si>
  <si>
    <t>WB/DAR/78B05/2015/444</t>
  </si>
  <si>
    <t>WB/DARJ/78B05/2015/0193</t>
  </si>
  <si>
    <t>Peebly Sandstone of Siwalik, Siwalik Group, Kamarchinwa Formation</t>
  </si>
  <si>
    <t>J1: 40?:350?; J2: 55?:185?</t>
  </si>
  <si>
    <t>NH-31, Near Coronation Bridge</t>
  </si>
  <si>
    <t>Retaing wall</t>
  </si>
  <si>
    <t>Failure along hinge portion of fold</t>
  </si>
  <si>
    <t>WB/DAR/78B05/2015/501</t>
  </si>
  <si>
    <t>ROAD CUTTING RESULTED IN BLOCKAGE OF NALA WHICH IN TURN RESULTED OF SEEPAGE OF WATER UNDER THE ROAD BENCH.</t>
  </si>
  <si>
    <t>NG77 NE OF SIVOK</t>
  </si>
  <si>
    <t>Retaining wall ,slope easing and wiremesh shotcreting</t>
  </si>
  <si>
    <t>Daylighting of joint</t>
  </si>
  <si>
    <t>WB/DAR/78B05/2015/690</t>
  </si>
  <si>
    <t>NG3, TISTA CHEL RF, NEAR CORONATION BRIDGE</t>
  </si>
  <si>
    <t>WB/DAR/78B05/2015/498</t>
  </si>
  <si>
    <t>ROAD BENCH FAILURE DUE TO ROAD CUT</t>
  </si>
  <si>
    <t>NH-31, Sevok Slide</t>
  </si>
  <si>
    <t>NH 31A</t>
  </si>
  <si>
    <t>WB/DARJ/78B05/2015/0194</t>
  </si>
  <si>
    <t>Toe erosion by Tista River and partly due to reduction of strength on supersaturation</t>
  </si>
  <si>
    <t>NH-31, 1.85km southeast of Coronation Bridge</t>
  </si>
  <si>
    <t>Retaing wall and drainage arrangement</t>
  </si>
  <si>
    <t>Toe erosion by stream and reduction of strength on supersaturation</t>
  </si>
  <si>
    <t>WB/DAR/78B05/2015/448</t>
  </si>
  <si>
    <t>NG80 JAROITAR</t>
  </si>
  <si>
    <t>Village above is in danger</t>
  </si>
  <si>
    <t>WB/DAR/78A08/2015/1328</t>
  </si>
  <si>
    <t>BIOGAS PLANT SLIDE</t>
  </si>
  <si>
    <t>BHALUKHOP, KALIMPONG</t>
  </si>
  <si>
    <t>WB/DAR/78A08/2015/47</t>
  </si>
  <si>
    <t>Schist</t>
  </si>
  <si>
    <t>Fol:45 towards  220, J1: 60 towards 240</t>
  </si>
  <si>
    <t>NH-31A 36.49 km from Sevok (Tiger Bridge) towards  Gangtok</t>
  </si>
  <si>
    <t>36.49 km from Sevok (Tiger Bridge) on NH-31A towards  Gangtok</t>
  </si>
  <si>
    <t>Due to triggering of slide stability of the forebay structure came in question</t>
  </si>
  <si>
    <t>Construction of catch water drain, 3 cascading chute drains, construction of berms at 10m interval from crown with hll sidedrains and construction of two sausage walls at EL 1440m and 1430 and plantation along the entire hill face.</t>
  </si>
  <si>
    <t>Toe cutting</t>
  </si>
  <si>
    <t>WB/DAR/78A08/2015/121</t>
  </si>
  <si>
    <t>Chota Bhalukop near Kalimpong</t>
  </si>
  <si>
    <t>WB/DARJ/78A08/2012/0304</t>
  </si>
  <si>
    <t>Road bench damaged</t>
  </si>
  <si>
    <t>Slope condition aggravated by rainfall.</t>
  </si>
  <si>
    <t>WB/DAR/78A08/2015/48</t>
  </si>
  <si>
    <t>NH-31A 37.6 km from Sevok (Tiger Bridge) towards  Gangtok</t>
  </si>
  <si>
    <t>37.6 km from Sevok (Tiger Bridge) on NH-31A towards  Gangtok</t>
  </si>
  <si>
    <t>Falling of disjointed rock block along with debris material along a steep slope on the road bench causing total road blockade.</t>
  </si>
  <si>
    <t>Removal of slide debris to ease slope preparartion of two to three intermediate benches between crown and road level, construction of catch water drain, contour darins along the benches, chute drains at both the ends of the slide and plantation.</t>
  </si>
  <si>
    <t>WB/DAR/78A08/2015/1519</t>
  </si>
  <si>
    <t>PUDUNG</t>
  </si>
  <si>
    <t>Creep</t>
  </si>
  <si>
    <t>WB/DAR/78A08/2015/35</t>
  </si>
  <si>
    <t>NH-31A Melli slide-II</t>
  </si>
  <si>
    <t>Deep and long Crack on road and subsidence along crack</t>
  </si>
  <si>
    <t>WB/DAR/78A08/2015/1520</t>
  </si>
  <si>
    <t>LOLEY</t>
  </si>
  <si>
    <t>WB/DARJ/78A08/2007/0291</t>
  </si>
  <si>
    <t>37.6 km from Sevok (Tiger Bridge) on NH-31A towards Gangtok</t>
  </si>
  <si>
    <t>Breast wall with provision of drainage holes, repair and maintenance of roadside drains</t>
  </si>
  <si>
    <t>WB/DAR/78A08/2015/1360</t>
  </si>
  <si>
    <t>NEAR KIRNEY BAZAR,MELLI ROAD</t>
  </si>
  <si>
    <t>1/2 KM. FROM KIRNEY BAZAR,MELLI ROAD</t>
  </si>
  <si>
    <t>WB/DARJ/78A08/1968/0292</t>
  </si>
  <si>
    <t>Phyllites of Daling Group, with joints and cleavages</t>
  </si>
  <si>
    <t>Falling of slide debris and its accumulation on road bench. Slow subsidence of the road bench.</t>
  </si>
  <si>
    <t>Easing of slope, preparation of bench and berms, constructon of sausage wall along the hill side of road bench, development of network of drainage and construction of spurs at river bed level.</t>
  </si>
  <si>
    <t>Toe erosion by Tista River and sheet erosion along the distressed slope due to heavy rain.</t>
  </si>
  <si>
    <t>WB/DAR/78A08/2015/1537</t>
  </si>
  <si>
    <t>Sandstone</t>
  </si>
  <si>
    <t>SADAR BAZAR SLIDE</t>
  </si>
  <si>
    <t>BUXA RF</t>
  </si>
  <si>
    <t>WB/DAR/78A08/2015/130</t>
  </si>
  <si>
    <t>Lower Bhalukhop</t>
  </si>
  <si>
    <t>WB/DAR/78A08/2015/131</t>
  </si>
  <si>
    <t>WB/DARJ/78A08/2013/0305</t>
  </si>
  <si>
    <t>Incessant rainfall had aggravated the slope condition</t>
  </si>
  <si>
    <t>WB/DARJ/78A08/2012/0303</t>
  </si>
  <si>
    <t>Active sinking area</t>
  </si>
  <si>
    <t>Upper Bhalukop near Kalimpong</t>
  </si>
  <si>
    <t>WB/DAR/78A08/2015/120</t>
  </si>
  <si>
    <t>WB/DAR/78A08/2015/123</t>
  </si>
  <si>
    <t>Newer Gaon, Kalimpong</t>
  </si>
  <si>
    <t>WB/DARJ/78A08/2013/0308</t>
  </si>
  <si>
    <t>Incessant rainfall  has aggravated the slope condition</t>
  </si>
  <si>
    <t>WB/DAR/78A08/2015/49</t>
  </si>
  <si>
    <t>NH-31A 37.95 km from Sevok (Tiger Bridge) towards  Gangtok</t>
  </si>
  <si>
    <t>37.95 km from Sevok (Tiger Bridge)on NH-31A towards  Gangtok</t>
  </si>
  <si>
    <t>Falling of huge rock blocks (a combination of wedge, planar and toppling failure) and total wash out of the road bench.</t>
  </si>
  <si>
    <t>Easing of slope through removalof loose rock blocks, rock bolting and wire mesh shot creting having water release holes. Sealing of all cracks surrounding the slide periphery and within it.</t>
  </si>
  <si>
    <t>A combination of planar, wedge and toppling failure within the highly jointed partially weathered rock mass. Water stauration has aggravated the situation.</t>
  </si>
  <si>
    <t>WB/DARJ/78A08/2007/0293</t>
  </si>
  <si>
    <t>37.95 km from Sevok (Tiger Bridge)on NH-31A towards Gangtok</t>
  </si>
  <si>
    <t>Breast wall with provision of drainage holes,repair and maintenance of roadside drains</t>
  </si>
  <si>
    <t>WB/DARJ/78A08/2007/0294</t>
  </si>
  <si>
    <t>38.8 km from Sevok (Tiger Bridge)on NH-31A towards Gangtok</t>
  </si>
  <si>
    <t>WB/DAR/78A08/2015/1522</t>
  </si>
  <si>
    <t>WB/DAR/78A08/2015/50</t>
  </si>
  <si>
    <t>NH-31A 38.8 km from Sevok (Tiger Bridge) towards  Gangtok</t>
  </si>
  <si>
    <t>38.8 km from Sevok (Tiger Bridge)on NH-31A towards  Gangtok</t>
  </si>
  <si>
    <t>Removal of slide debris to ease slope, preparation of four benches within crown and road bench, conversion of rain gullies into stepped chute drains, construction of catch water drain.</t>
  </si>
  <si>
    <t>Deep sheeted gully erosion along the water courses through the distressed zone initiated mass movement and toppling failure within the highly jointed rock blocks.</t>
  </si>
  <si>
    <t>WB/DARJ/78A08/2007/0300</t>
  </si>
  <si>
    <t>41.10 km from Sevok on NH-31A towards Gangtok</t>
  </si>
  <si>
    <t>Breast wall, repair and maintenance of roadside drain</t>
  </si>
  <si>
    <t>SKM/SS/78A08/2015/279</t>
  </si>
  <si>
    <t>S1=315/40???NE, J1=40/75???NW</t>
  </si>
  <si>
    <t>Namchi-Namthang Road</t>
  </si>
  <si>
    <t>SKM/SS/78A08/2015/314</t>
  </si>
  <si>
    <t>Melli-Rabikhola Road</t>
  </si>
  <si>
    <t>SKM/SS/78A08/2015/312</t>
  </si>
  <si>
    <t>SKM/SS/78A08/2015/313</t>
  </si>
  <si>
    <t>S1=290/35???NE</t>
  </si>
  <si>
    <t>Slope cutting for bridge construction</t>
  </si>
  <si>
    <t>SKM/SS/78A08/2015/311</t>
  </si>
  <si>
    <t>Melli-Phong Road</t>
  </si>
  <si>
    <t>SKM/SS/78A08/2015/310</t>
  </si>
  <si>
    <t>SKM/SS/78A08/2015/309</t>
  </si>
  <si>
    <t>WB/DAR/78A08/2015/51</t>
  </si>
  <si>
    <t>NH-31A 39.9 km from Sevok(Tiger Bridge) towards  Gangtok</t>
  </si>
  <si>
    <t>39.9 km from Sevok(Tiger Bridge) on NH-31A towards  Gangtok</t>
  </si>
  <si>
    <t>WB/DAR/78A08/2015/1523</t>
  </si>
  <si>
    <t>WB/DARJ/78A08/2007/0295</t>
  </si>
  <si>
    <t>39.9 km from Sevok(Tiger Bridge) on NH-31A towards Gangtok</t>
  </si>
  <si>
    <t>Road retaining structure, Cross drainage structure to lessen the effect of toe erosion, Repair and maintenance of roadside drains</t>
  </si>
  <si>
    <t>Toe erosion by Tista River</t>
  </si>
  <si>
    <t>SKM/SS/78A12/2015/146</t>
  </si>
  <si>
    <t>S1=330/45???NE, J1=65/77???SE</t>
  </si>
  <si>
    <t>WB/DAR/78A08/2015/57</t>
  </si>
  <si>
    <t>NH-31A 41.75 km from Sevok towards  Gangtok</t>
  </si>
  <si>
    <t>41.75 km from Sevok on NH-31A towards  Gangtok</t>
  </si>
  <si>
    <t>Road blocked</t>
  </si>
  <si>
    <t>WB/DAR/78A12/2015/203</t>
  </si>
  <si>
    <t>NH-31A_47.5 km</t>
  </si>
  <si>
    <t>47.5 km from Sevok(Tiger Bridge) on NH-31A towards  Gangtok</t>
  </si>
  <si>
    <t>WB/DAR/78A12/2015/1494</t>
  </si>
  <si>
    <t>Excessive rainfall aggravated the slope condition</t>
  </si>
  <si>
    <t>WB/DAR/78A12/2015/1495</t>
  </si>
  <si>
    <t>WB/DAR/78A12/2015/163</t>
  </si>
  <si>
    <t>NH-31A_ 50 km</t>
  </si>
  <si>
    <t>Relict</t>
  </si>
  <si>
    <t>At Km. 50 from Sevoke on NH 31A</t>
  </si>
  <si>
    <t>WB/DAR/78A12/2015/1496</t>
  </si>
  <si>
    <t>SKM/SS/78A08/2015/307</t>
  </si>
  <si>
    <t>S1=270/70???S</t>
  </si>
  <si>
    <t>SKM/ES/78A2/2015/167</t>
  </si>
  <si>
    <t>SKM/ES/78A12/2015/162</t>
  </si>
  <si>
    <t>S1=50/40???SE</t>
  </si>
  <si>
    <t>SKM/ES/78A2/2015/168</t>
  </si>
  <si>
    <t>S1=330/38???NE, J1=330/80???SW,J2=55/85???SE</t>
  </si>
  <si>
    <t>SKM/ES/78A12/2015/163</t>
  </si>
  <si>
    <t>S1=30/50???SE, J1=335/30???SW,J2=EW/65???N</t>
  </si>
  <si>
    <t>Topple</t>
  </si>
  <si>
    <t>Construction of the Retaining wall &amp; Rock bolting</t>
  </si>
  <si>
    <t>SKM/ES/78A12/2015/164</t>
  </si>
  <si>
    <t>S1=30/50???SE, J1=330/35???SW,J2=EW/70???N</t>
  </si>
  <si>
    <t>SKM/ES/78A2/2015/169</t>
  </si>
  <si>
    <t>S1=25/40???SE</t>
  </si>
  <si>
    <t>Foliation Plane failure</t>
  </si>
  <si>
    <t>SK/EAST/78A12/2015/0222</t>
  </si>
  <si>
    <t>Slide aslo obsersed on opposite bank of river, slide down contour below road and part of road damaged with subsidence</t>
  </si>
  <si>
    <t>74A12</t>
  </si>
  <si>
    <t>Rangpo-Tista bridge Road</t>
  </si>
  <si>
    <t>Vicinity to Shear shone area</t>
  </si>
  <si>
    <t>SKM/SS/78A12/2015/174</t>
  </si>
  <si>
    <t>S1=355/40???NE</t>
  </si>
  <si>
    <t>SKM/SS/78A12/2015/170</t>
  </si>
  <si>
    <t>S1=35/45???SE,J1=310/85???SW</t>
  </si>
  <si>
    <t>WB/DAR/78A12/2015/167</t>
  </si>
  <si>
    <t>At Km. 3.5 on Rangpo-Payong road</t>
  </si>
  <si>
    <t>WB/DAR/78A12/2015/422</t>
  </si>
  <si>
    <t>NH55  At Km. 25.5 from Darjeeling on NH 55</t>
  </si>
  <si>
    <t>At Km. 25.5 from Darjeeling on NH 55</t>
  </si>
  <si>
    <t>SKM/SS/78A12/2015/171</t>
  </si>
  <si>
    <t>S1=35/55???SE</t>
  </si>
  <si>
    <t>SKM/SS/78A12/2015/173</t>
  </si>
  <si>
    <t>S1=360/50???E</t>
  </si>
  <si>
    <t>SKM/SS/78A12/2015/172</t>
  </si>
  <si>
    <t>S1=350/30???NE</t>
  </si>
  <si>
    <t>SKM/ES/78A12/2015/165</t>
  </si>
  <si>
    <t>S1=30/50???SE,J1=EW/60???N</t>
  </si>
  <si>
    <t>WB/DAR/78A12/2015/238</t>
  </si>
  <si>
    <t>23 km on Algara-Rangpo road</t>
  </si>
  <si>
    <t>SKM/ES/78A12/2015/101</t>
  </si>
  <si>
    <t>S1=40/60???SE</t>
  </si>
  <si>
    <t>Rangpo-Rorathang Road</t>
  </si>
  <si>
    <t>SKM/ES/78A12/2015/141</t>
  </si>
  <si>
    <t>SK/EAST/78A12/2015/0221</t>
  </si>
  <si>
    <t>S1: 40?:240?; J1: 70?:150?</t>
  </si>
  <si>
    <t xml:space="preserve"> Rangpo-Roathang Road</t>
  </si>
  <si>
    <t>Slope destablized due to river cut</t>
  </si>
  <si>
    <t>SKM/ES/78A12/2015/143</t>
  </si>
  <si>
    <t>S1=305/47???NE, J1=NS/50???W</t>
  </si>
  <si>
    <t>SKM/ES/78A12/2015/142</t>
  </si>
  <si>
    <t>SKM/ES/78A12/2015/144</t>
  </si>
  <si>
    <t>S1=35/45???SE</t>
  </si>
  <si>
    <t>SKM/ES/78A12/2015/145</t>
  </si>
  <si>
    <t>S1=315/45???NE</t>
  </si>
  <si>
    <t>WB/DARJ/78A08/2007/0298</t>
  </si>
  <si>
    <t>Road blockade by fallen debris from debris slide and flow from up slope and ~200m road stretch towards valley side failed</t>
  </si>
  <si>
    <t>40.30 km from Sevok on NH-31A towards Gangtok</t>
  </si>
  <si>
    <t>Road retaining structure, Cross drainage structure to lessen the effect of toe erosion of Teesta, Repair and maintenance of roadside drains. This is the worst affected stretch of NH-31A in between Melli and Rangpoh sector and this slide needs detailed in</t>
  </si>
  <si>
    <t>Toe erosion by Teesta River</t>
  </si>
  <si>
    <t>WB/DARJ/78A08/2007/0301</t>
  </si>
  <si>
    <t>Colluvium (thin cover of  loose, unconsolidated) over wethered Schists/ Phyllites colluvium</t>
  </si>
  <si>
    <t>41.75 km from Sevok on NH-31A towards Gangtok</t>
  </si>
  <si>
    <t>WB/DAR/78A08/2015/117</t>
  </si>
  <si>
    <t>NH-31A 40 km  from Sevok(Tiger Bridge) towards  Gangtok</t>
  </si>
  <si>
    <t>40 km on NH-31A</t>
  </si>
  <si>
    <t>WB/DARJ/78A08/2012/0296</t>
  </si>
  <si>
    <t>Active toe cutting by Teesta River</t>
  </si>
  <si>
    <t>WB/DARJ/78A08/2007/0299</t>
  </si>
  <si>
    <t>40.60 km from Sevok on NH-31A towards Gangtok</t>
  </si>
  <si>
    <t>WB/DARJ/78A08/2011/0297</t>
  </si>
  <si>
    <t>Sinking of road about 3-4m along 20m road stretch</t>
  </si>
  <si>
    <t>WB/DAR/78A08/2015/116</t>
  </si>
  <si>
    <t>NH-31A 40.25 Km from Sevok(Tiger Bridge) towards  Gangtok</t>
  </si>
  <si>
    <t>WB/DAR/78A08/2015/56</t>
  </si>
  <si>
    <t>NH-31A 41.10 km from Sevok towards  Gangtok</t>
  </si>
  <si>
    <t>41.10 km from Sevok on NH-31A towards  Gangtok</t>
  </si>
  <si>
    <t>WB/DAR/78A08/2015/52</t>
  </si>
  <si>
    <t>NH-31A 40.30 km from Sevok  towards  Gangtok</t>
  </si>
  <si>
    <t>40.30 km from Sevok on NH-31A towards  Gangtok</t>
  </si>
  <si>
    <t>WB/DAR/78A08/2015/53</t>
  </si>
  <si>
    <t>NH-31A 40.60 km from Sevok towards  Gangtok</t>
  </si>
  <si>
    <t>40.60 km from Sevok on NH-31A towards  Gangtok</t>
  </si>
  <si>
    <t>WB/DAR/78A08/2015/1524</t>
  </si>
  <si>
    <t>Kashyem, Near Upper 12 Dhura</t>
  </si>
  <si>
    <t>KASHYEM</t>
  </si>
  <si>
    <t>SKM/SS/78A08/2015/175</t>
  </si>
  <si>
    <t>S1=40/50???SE</t>
  </si>
  <si>
    <t>SKM/SS/78A08/2015/176</t>
  </si>
  <si>
    <t>SKM/SS/78A08/2015/177</t>
  </si>
  <si>
    <t>S1=40/40???SE</t>
  </si>
  <si>
    <t>SKM/SS/78A08/2015/181</t>
  </si>
  <si>
    <t>S1=360/35???E</t>
  </si>
  <si>
    <t>Rock bolting</t>
  </si>
  <si>
    <t>SKM/SS/78A08/2015/180</t>
  </si>
  <si>
    <t>S1=355/35???NE</t>
  </si>
  <si>
    <t>WB/DAR/78A12/2015/1497</t>
  </si>
  <si>
    <t>Retaining wall collapsed</t>
  </si>
  <si>
    <t>WB/DAR/78A12/2015/1492</t>
  </si>
  <si>
    <t>Cyclone Aila</t>
  </si>
  <si>
    <t>Road subsided. Parapet wall broken</t>
  </si>
  <si>
    <t>Repairing of breached and subsided part of road, Maintenance of roadside drain, Provision of slope protection wall</t>
  </si>
  <si>
    <t>Heavy rain for two days</t>
  </si>
  <si>
    <t>WB/DAR/78A12/2015/1369</t>
  </si>
  <si>
    <t>SANGSAR (NEAR BHAGEY VILLAGE),KALIMPONG</t>
  </si>
  <si>
    <t>SANGSAR,KALIMPONG</t>
  </si>
  <si>
    <t>Arcuate crack on road and road blockage</t>
  </si>
  <si>
    <t>WB/DAR/78A08/2015/58</t>
  </si>
  <si>
    <t>NH-31A 42.30 km from Sevok towards  Gangtok</t>
  </si>
  <si>
    <t>42.30 km from Sevok on NH-31A towards  Gangtok</t>
  </si>
  <si>
    <t>WB/DAR/78A08/2015/1525</t>
  </si>
  <si>
    <t>LOWER SANTUK</t>
  </si>
  <si>
    <t>LOWER SANTUK,SW OF MIRIK</t>
  </si>
  <si>
    <t>WB/DARJ/78A08/2007/0302</t>
  </si>
  <si>
    <t>Highly jointed Schists/ Phyllites of Daling Group</t>
  </si>
  <si>
    <t>Minor road blockade; NH-31A road bench ~150m towards valley side got subsided ~1.5m</t>
  </si>
  <si>
    <t>42.30 km from Sevok on NH-31A towards Gangtok</t>
  </si>
  <si>
    <t>Breast wall on hillside of the road bench; proper drainage arrangement by repairing and maintaining the lined road side drains.Cross drainage structures in Teesta bank to lessen the effect of toe erosion.</t>
  </si>
  <si>
    <t>WB/DAR/78A12/2015/217</t>
  </si>
  <si>
    <t>NH-31A_ 42.8 Km</t>
  </si>
  <si>
    <t>Movement Rate</t>
  </si>
  <si>
    <t>No. of Landslides</t>
  </si>
  <si>
    <t>Failure Mechanism</t>
  </si>
  <si>
    <t>ST</t>
  </si>
  <si>
    <t>DR</t>
  </si>
  <si>
    <t>SR</t>
  </si>
  <si>
    <t>DT</t>
  </si>
  <si>
    <t>Shallow translational</t>
  </si>
  <si>
    <t xml:space="preserve">Deep Rotational </t>
  </si>
  <si>
    <t>Shallow Rotational</t>
  </si>
  <si>
    <t xml:space="preserve">Deep translational </t>
  </si>
  <si>
    <t>Shallow planar and wedge</t>
  </si>
  <si>
    <t>Bulging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</si>
</sst>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3.xml"/><Relationship Id="rId4" Type="http://schemas.openxmlformats.org/officeDocument/2006/relationships/chartsheet" Target="chartsheets/sheet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5">
                <a:lumMod val="75000"/>
              </a:schemeClr>
            </a:solidFill>
            <a:ln w="19050">
              <a:solidFill>
                <a:schemeClr val="tx1"/>
              </a:solidFill>
            </a:ln>
            <a:effectLst/>
          </c:spPr>
          <c:invertIfNegative val="0"/>
          <c:dLbls>
            <c:dLbl>
              <c:idx val="0"/>
              <c:layout>
                <c:manualLayout>
                  <c:x val="-2.9312581871829926E-3"/>
                  <c:y val="-0.405951732343795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F3-4DED-9D4A-72BC65A115FB}"/>
                </c:ext>
              </c:extLst>
            </c:dLbl>
            <c:dLbl>
              <c:idx val="1"/>
              <c:layout>
                <c:manualLayout>
                  <c:x val="0"/>
                  <c:y val="-3.83735468384681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F3-4DED-9D4A-72BC65A115FB}"/>
                </c:ext>
              </c:extLst>
            </c:dLbl>
            <c:dLbl>
              <c:idx val="2"/>
              <c:layout>
                <c:manualLayout>
                  <c:x val="-1.0747822526574665E-16"/>
                  <c:y val="-3.029490539879083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F3-4DED-9D4A-72BC65A115FB}"/>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Sheet3!$A$2:$A$4</c:f>
              <c:strCache>
                <c:ptCount val="3"/>
                <c:pt idx="0">
                  <c:v>Rapid</c:v>
                </c:pt>
                <c:pt idx="1">
                  <c:v>Slow</c:v>
                </c:pt>
                <c:pt idx="2">
                  <c:v>Moderate</c:v>
                </c:pt>
              </c:strCache>
            </c:strRef>
          </c:cat>
          <c:val>
            <c:numRef>
              <c:f>Sheet3!$B$2:$B$4</c:f>
              <c:numCache>
                <c:formatCode>General</c:formatCode>
                <c:ptCount val="3"/>
                <c:pt idx="0">
                  <c:v>272</c:v>
                </c:pt>
                <c:pt idx="1">
                  <c:v>6</c:v>
                </c:pt>
                <c:pt idx="2">
                  <c:v>1</c:v>
                </c:pt>
              </c:numCache>
            </c:numRef>
          </c:val>
          <c:extLst>
            <c:ext xmlns:c16="http://schemas.microsoft.com/office/drawing/2014/chart" uri="{C3380CC4-5D6E-409C-BE32-E72D297353CC}">
              <c16:uniqueId val="{00000000-76F3-4DED-9D4A-72BC65A115FB}"/>
            </c:ext>
          </c:extLst>
        </c:ser>
        <c:dLbls>
          <c:dLblPos val="ctr"/>
          <c:showLegendKey val="0"/>
          <c:showVal val="1"/>
          <c:showCatName val="0"/>
          <c:showSerName val="0"/>
          <c:showPercent val="0"/>
          <c:showBubbleSize val="0"/>
        </c:dLbls>
        <c:gapWidth val="100"/>
        <c:overlap val="100"/>
        <c:axId val="1865986976"/>
        <c:axId val="1764352640"/>
      </c:barChart>
      <c:catAx>
        <c:axId val="1865986976"/>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Movement rate</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out"/>
        <c:tickLblPos val="nextTo"/>
        <c:spPr>
          <a:noFill/>
          <a:ln w="19050" cap="flat" cmpd="sng" algn="ctr">
            <a:solidFill>
              <a:schemeClr val="tx1"/>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64352640"/>
        <c:crosses val="autoZero"/>
        <c:auto val="1"/>
        <c:lblAlgn val="ctr"/>
        <c:lblOffset val="100"/>
        <c:noMultiLvlLbl val="0"/>
      </c:catAx>
      <c:valAx>
        <c:axId val="1764352640"/>
        <c:scaling>
          <c:orientation val="minMax"/>
        </c:scaling>
        <c:delete val="0"/>
        <c:axPos val="l"/>
        <c:title>
          <c:tx>
            <c:rich>
              <a:bodyPr rot="-54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Number of landslides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9050">
            <a:solidFill>
              <a:schemeClr val="tx1"/>
            </a:solidFill>
          </a:ln>
          <a:effectLst/>
        </c:spPr>
        <c:txPr>
          <a:bodyPr rot="-600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6598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000">
          <a:solidFill>
            <a:schemeClr val="tx1"/>
          </a:solidFill>
          <a:latin typeface="Times New Roman" panose="02020603050405020304" pitchFamily="18" charset="0"/>
          <a:cs typeface="Times New Roman" panose="02020603050405020304" pitchFamily="18" charset="0"/>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5">
                <a:lumMod val="75000"/>
              </a:schemeClr>
            </a:solidFill>
            <a:ln w="19050">
              <a:solidFill>
                <a:schemeClr val="tx1"/>
              </a:solidFill>
            </a:ln>
            <a:effectLst/>
          </c:spPr>
          <c:invertIfNegative val="0"/>
          <c:dLbls>
            <c:dLbl>
              <c:idx val="0"/>
              <c:layout>
                <c:manualLayout>
                  <c:x val="1.4656290935914963E-3"/>
                  <c:y val="-0.397873090904117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F3-4157-BA66-02A190DA3CD6}"/>
                </c:ext>
              </c:extLst>
            </c:dLbl>
            <c:dLbl>
              <c:idx val="1"/>
              <c:layout>
                <c:manualLayout>
                  <c:x val="0"/>
                  <c:y val="-8.68453954765334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F3-4157-BA66-02A190DA3CD6}"/>
                </c:ext>
              </c:extLst>
            </c:dLbl>
            <c:dLbl>
              <c:idx val="2"/>
              <c:layout>
                <c:manualLayout>
                  <c:x val="0"/>
                  <c:y val="-3.43342261186295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F3-4157-BA66-02A190DA3CD6}"/>
                </c:ext>
              </c:extLst>
            </c:dLbl>
            <c:dLbl>
              <c:idx val="3"/>
              <c:layout>
                <c:manualLayout>
                  <c:x val="1.0747822526574665E-16"/>
                  <c:y val="-3.231456575871006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F3-4157-BA66-02A190DA3CD6}"/>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Sheet3!$H$2:$H$5</c:f>
              <c:strCache>
                <c:ptCount val="4"/>
                <c:pt idx="0">
                  <c:v>ST</c:v>
                </c:pt>
                <c:pt idx="1">
                  <c:v>DR</c:v>
                </c:pt>
                <c:pt idx="2">
                  <c:v>SR</c:v>
                </c:pt>
                <c:pt idx="3">
                  <c:v>DT</c:v>
                </c:pt>
              </c:strCache>
            </c:strRef>
          </c:cat>
          <c:val>
            <c:numRef>
              <c:f>Sheet3!$I$2:$I$5</c:f>
              <c:numCache>
                <c:formatCode>General</c:formatCode>
                <c:ptCount val="4"/>
                <c:pt idx="0">
                  <c:v>266</c:v>
                </c:pt>
                <c:pt idx="1">
                  <c:v>42</c:v>
                </c:pt>
                <c:pt idx="2">
                  <c:v>3</c:v>
                </c:pt>
                <c:pt idx="3">
                  <c:v>1</c:v>
                </c:pt>
              </c:numCache>
            </c:numRef>
          </c:val>
          <c:extLst>
            <c:ext xmlns:c16="http://schemas.microsoft.com/office/drawing/2014/chart" uri="{C3380CC4-5D6E-409C-BE32-E72D297353CC}">
              <c16:uniqueId val="{00000000-31F3-4157-BA66-02A190DA3CD6}"/>
            </c:ext>
          </c:extLst>
        </c:ser>
        <c:dLbls>
          <c:dLblPos val="ctr"/>
          <c:showLegendKey val="0"/>
          <c:showVal val="1"/>
          <c:showCatName val="0"/>
          <c:showSerName val="0"/>
          <c:showPercent val="0"/>
          <c:showBubbleSize val="0"/>
        </c:dLbls>
        <c:gapWidth val="100"/>
        <c:overlap val="100"/>
        <c:axId val="1868030432"/>
        <c:axId val="1865850832"/>
      </c:barChart>
      <c:catAx>
        <c:axId val="1868030432"/>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Failure mechanism</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out"/>
        <c:tickLblPos val="nextTo"/>
        <c:spPr>
          <a:noFill/>
          <a:ln w="19050" cap="flat" cmpd="sng" algn="ctr">
            <a:solidFill>
              <a:schemeClr val="tx1"/>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65850832"/>
        <c:crosses val="autoZero"/>
        <c:auto val="1"/>
        <c:lblAlgn val="ctr"/>
        <c:lblOffset val="100"/>
        <c:noMultiLvlLbl val="0"/>
      </c:catAx>
      <c:valAx>
        <c:axId val="1865850832"/>
        <c:scaling>
          <c:orientation val="minMax"/>
        </c:scaling>
        <c:delete val="0"/>
        <c:axPos val="l"/>
        <c:title>
          <c:tx>
            <c:rich>
              <a:bodyPr rot="-54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Number of landslides</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19050">
            <a:solidFill>
              <a:schemeClr val="tx1"/>
            </a:solidFill>
          </a:ln>
          <a:effectLst/>
        </c:spPr>
        <c:txPr>
          <a:bodyPr rot="-60000000" spcFirstLastPara="1" vertOverflow="ellipsis" vert="horz" wrap="square" anchor="ctr" anchorCtr="1"/>
          <a:lstStyle/>
          <a:p>
            <a:pPr>
              <a:defRPr sz="2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6803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000" b="0">
          <a:solidFill>
            <a:schemeClr val="tx1"/>
          </a:solidFill>
          <a:latin typeface="Times New Roman" panose="02020603050405020304" pitchFamily="18" charset="0"/>
          <a:cs typeface="Times New Roman" panose="02020603050405020304" pitchFamily="18" charset="0"/>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9CD9D0F-67F7-498C-809D-D1E8C7335A30}">
  <sheetPr/>
  <sheetViews>
    <sheetView zoomScale="11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35D4AD1-1D10-45B2-89DA-F365055C2B60}">
  <sheetPr/>
  <sheetViews>
    <sheetView tabSelected="1"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BDC19F41-E8D4-4149-9F50-091E2DD916D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7A2F9365-5533-4835-827F-F4F776CCC48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338"/>
  <sheetViews>
    <sheetView topLeftCell="U1" workbookViewId="0">
      <selection activeCell="AJ1" activeCellId="7" sqref="A1:A1048576 C1:C1048576 D1:D1048576 O1:O1048576 AF1:AF1048576 AG1:AG1048576 AH1:AH1048576 AJ1:AJ1048576"/>
    </sheetView>
  </sheetViews>
  <sheetFormatPr defaultRowHeight="15" x14ac:dyDescent="0.25"/>
  <sheetData>
    <row r="1" spans="1:70"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row>
    <row r="2" spans="1:70" x14ac:dyDescent="0.25">
      <c r="A2">
        <v>0</v>
      </c>
      <c r="B2">
        <v>315</v>
      </c>
      <c r="C2">
        <v>88.433694000000003</v>
      </c>
      <c r="D2">
        <v>27.023444000000001</v>
      </c>
      <c r="E2" t="s">
        <v>71</v>
      </c>
      <c r="F2">
        <v>0</v>
      </c>
      <c r="G2" t="s">
        <v>72</v>
      </c>
      <c r="H2" t="s">
        <v>72</v>
      </c>
      <c r="I2" t="s">
        <v>72</v>
      </c>
      <c r="J2" t="s">
        <v>72</v>
      </c>
      <c r="K2">
        <v>0</v>
      </c>
      <c r="L2">
        <v>15</v>
      </c>
      <c r="M2">
        <v>0</v>
      </c>
      <c r="N2">
        <v>0</v>
      </c>
      <c r="O2" t="s">
        <v>72</v>
      </c>
      <c r="P2" t="s">
        <v>72</v>
      </c>
      <c r="Q2">
        <v>0</v>
      </c>
      <c r="R2" t="s">
        <v>72</v>
      </c>
      <c r="S2" t="s">
        <v>73</v>
      </c>
      <c r="T2" t="s">
        <v>74</v>
      </c>
      <c r="U2" t="s">
        <v>75</v>
      </c>
      <c r="V2" t="s">
        <v>72</v>
      </c>
      <c r="W2" t="s">
        <v>76</v>
      </c>
      <c r="X2" t="s">
        <v>77</v>
      </c>
      <c r="Y2">
        <v>0</v>
      </c>
      <c r="Z2" t="s">
        <v>72</v>
      </c>
      <c r="AA2" t="s">
        <v>72</v>
      </c>
      <c r="AB2" t="s">
        <v>72</v>
      </c>
      <c r="AC2" t="s">
        <v>72</v>
      </c>
      <c r="AD2" t="s">
        <v>78</v>
      </c>
      <c r="AE2">
        <v>0</v>
      </c>
      <c r="AF2" t="s">
        <v>79</v>
      </c>
      <c r="AG2" t="s">
        <v>72</v>
      </c>
      <c r="AH2" t="s">
        <v>72</v>
      </c>
      <c r="AI2" t="s">
        <v>80</v>
      </c>
      <c r="AJ2" t="s">
        <v>72</v>
      </c>
      <c r="AK2">
        <v>0</v>
      </c>
      <c r="AL2">
        <v>0</v>
      </c>
      <c r="AM2">
        <v>0</v>
      </c>
      <c r="AN2" t="s">
        <v>81</v>
      </c>
      <c r="AO2" t="s">
        <v>82</v>
      </c>
      <c r="AP2" t="s">
        <v>83</v>
      </c>
      <c r="AQ2" t="s">
        <v>72</v>
      </c>
      <c r="AR2" t="s">
        <v>72</v>
      </c>
      <c r="AS2" t="s">
        <v>72</v>
      </c>
      <c r="AT2" t="s">
        <v>84</v>
      </c>
      <c r="AU2" t="s">
        <v>72</v>
      </c>
      <c r="AV2" t="s">
        <v>72</v>
      </c>
      <c r="AW2" t="s">
        <v>72</v>
      </c>
      <c r="AX2" t="s">
        <v>85</v>
      </c>
      <c r="AY2">
        <v>29.005600000000001</v>
      </c>
      <c r="AZ2">
        <v>148</v>
      </c>
      <c r="BA2">
        <v>-1.28</v>
      </c>
      <c r="BB2">
        <v>492.15399170000001</v>
      </c>
      <c r="BC2">
        <v>-9.20546E-2</v>
      </c>
      <c r="BD2">
        <v>0.13946600000000001</v>
      </c>
      <c r="BE2">
        <v>0</v>
      </c>
      <c r="BF2">
        <v>4.7249698999999996</v>
      </c>
      <c r="BG2">
        <v>0.45029200000000003</v>
      </c>
      <c r="BH2">
        <v>0.79854400000000003</v>
      </c>
      <c r="BI2">
        <v>0.88689799999999996</v>
      </c>
      <c r="BJ2">
        <v>35.355300900000003</v>
      </c>
      <c r="BK2">
        <v>7</v>
      </c>
      <c r="BL2">
        <v>29.757099199999999</v>
      </c>
      <c r="BM2">
        <v>530.47698969999999</v>
      </c>
      <c r="BN2">
        <v>3785.8300780999998</v>
      </c>
      <c r="BO2">
        <v>50.855998999999997</v>
      </c>
      <c r="BP2">
        <v>170</v>
      </c>
      <c r="BQ2">
        <v>6</v>
      </c>
      <c r="BR2">
        <v>7</v>
      </c>
    </row>
    <row r="3" spans="1:70" x14ac:dyDescent="0.25">
      <c r="A3">
        <v>1</v>
      </c>
      <c r="B3">
        <v>10834</v>
      </c>
      <c r="C3">
        <v>88.4330199999999</v>
      </c>
      <c r="D3">
        <v>27.023536</v>
      </c>
      <c r="E3" t="s">
        <v>86</v>
      </c>
      <c r="F3">
        <v>2</v>
      </c>
      <c r="G3" t="s">
        <v>87</v>
      </c>
      <c r="H3" t="s">
        <v>72</v>
      </c>
      <c r="I3" t="s">
        <v>72</v>
      </c>
      <c r="J3" t="s">
        <v>88</v>
      </c>
      <c r="K3">
        <v>50</v>
      </c>
      <c r="L3">
        <v>20</v>
      </c>
      <c r="M3">
        <v>35</v>
      </c>
      <c r="N3">
        <v>1000</v>
      </c>
      <c r="O3" t="s">
        <v>89</v>
      </c>
      <c r="P3" t="s">
        <v>72</v>
      </c>
      <c r="Q3">
        <v>2000</v>
      </c>
      <c r="R3" t="s">
        <v>72</v>
      </c>
      <c r="S3" t="s">
        <v>73</v>
      </c>
      <c r="T3" t="s">
        <v>74</v>
      </c>
      <c r="U3" t="s">
        <v>90</v>
      </c>
      <c r="V3" t="s">
        <v>91</v>
      </c>
      <c r="W3" t="s">
        <v>92</v>
      </c>
      <c r="X3" t="s">
        <v>77</v>
      </c>
      <c r="Y3">
        <v>2011</v>
      </c>
      <c r="Z3" t="s">
        <v>72</v>
      </c>
      <c r="AA3" t="s">
        <v>72</v>
      </c>
      <c r="AB3" t="s">
        <v>72</v>
      </c>
      <c r="AC3" t="s">
        <v>72</v>
      </c>
      <c r="AD3" t="s">
        <v>93</v>
      </c>
      <c r="AE3">
        <v>0</v>
      </c>
      <c r="AF3" t="s">
        <v>79</v>
      </c>
      <c r="AG3" t="s">
        <v>94</v>
      </c>
      <c r="AH3" t="s">
        <v>95</v>
      </c>
      <c r="AI3" t="s">
        <v>96</v>
      </c>
      <c r="AJ3" t="s">
        <v>97</v>
      </c>
      <c r="AK3">
        <v>0</v>
      </c>
      <c r="AL3">
        <v>0</v>
      </c>
      <c r="AM3">
        <v>0</v>
      </c>
      <c r="AN3" t="s">
        <v>98</v>
      </c>
      <c r="AO3" t="s">
        <v>82</v>
      </c>
      <c r="AP3" t="s">
        <v>99</v>
      </c>
      <c r="AQ3" t="s">
        <v>72</v>
      </c>
      <c r="AR3" t="s">
        <v>72</v>
      </c>
      <c r="AS3" t="s">
        <v>72</v>
      </c>
      <c r="AT3" t="s">
        <v>72</v>
      </c>
      <c r="AU3" t="s">
        <v>72</v>
      </c>
      <c r="AV3" t="s">
        <v>72</v>
      </c>
      <c r="AW3" t="s">
        <v>72</v>
      </c>
      <c r="AX3" t="s">
        <v>100</v>
      </c>
      <c r="AY3">
        <v>31.276699099999998</v>
      </c>
      <c r="AZ3">
        <v>114</v>
      </c>
      <c r="BA3">
        <v>-0.64</v>
      </c>
      <c r="BB3">
        <v>477.15701289999998</v>
      </c>
      <c r="BC3">
        <v>-0.13323399999999999</v>
      </c>
      <c r="BD3">
        <v>0.173873</v>
      </c>
      <c r="BE3">
        <v>27.9507999</v>
      </c>
      <c r="BF3">
        <v>5.5674000000000001</v>
      </c>
      <c r="BG3">
        <v>0.52222199999999996</v>
      </c>
      <c r="BH3">
        <v>1.84297</v>
      </c>
      <c r="BI3">
        <v>0.89272799999999997</v>
      </c>
      <c r="BJ3">
        <v>80.039100599999998</v>
      </c>
      <c r="BK3">
        <v>7</v>
      </c>
      <c r="BL3">
        <v>29.757099199999999</v>
      </c>
      <c r="BM3">
        <v>497.80801389999999</v>
      </c>
      <c r="BN3">
        <v>3837.9899902000002</v>
      </c>
      <c r="BO3">
        <v>69.775100699999996</v>
      </c>
      <c r="BP3">
        <v>199</v>
      </c>
      <c r="BQ3">
        <v>6</v>
      </c>
      <c r="BR3">
        <v>7</v>
      </c>
    </row>
    <row r="4" spans="1:70" x14ac:dyDescent="0.25">
      <c r="A4">
        <v>2</v>
      </c>
      <c r="B4">
        <v>10835</v>
      </c>
      <c r="C4">
        <v>88.4377759999999</v>
      </c>
      <c r="D4">
        <v>27.023665999999899</v>
      </c>
      <c r="E4" t="s">
        <v>101</v>
      </c>
      <c r="F4">
        <v>2</v>
      </c>
      <c r="G4" t="s">
        <v>102</v>
      </c>
      <c r="H4" t="s">
        <v>72</v>
      </c>
      <c r="I4" t="s">
        <v>72</v>
      </c>
      <c r="J4" t="s">
        <v>88</v>
      </c>
      <c r="K4">
        <v>50</v>
      </c>
      <c r="L4">
        <v>20</v>
      </c>
      <c r="M4">
        <v>35</v>
      </c>
      <c r="N4">
        <v>1000</v>
      </c>
      <c r="O4" t="s">
        <v>89</v>
      </c>
      <c r="P4" t="s">
        <v>72</v>
      </c>
      <c r="Q4">
        <v>2000</v>
      </c>
      <c r="R4" t="s">
        <v>72</v>
      </c>
      <c r="S4" t="s">
        <v>73</v>
      </c>
      <c r="T4" t="s">
        <v>74</v>
      </c>
      <c r="U4" t="s">
        <v>90</v>
      </c>
      <c r="V4" t="s">
        <v>91</v>
      </c>
      <c r="W4" t="s">
        <v>92</v>
      </c>
      <c r="X4" t="s">
        <v>77</v>
      </c>
      <c r="Y4">
        <v>2011</v>
      </c>
      <c r="Z4" t="s">
        <v>72</v>
      </c>
      <c r="AA4" t="s">
        <v>72</v>
      </c>
      <c r="AB4" t="s">
        <v>72</v>
      </c>
      <c r="AC4" t="s">
        <v>72</v>
      </c>
      <c r="AD4" t="s">
        <v>93</v>
      </c>
      <c r="AE4">
        <v>0</v>
      </c>
      <c r="AF4" t="s">
        <v>79</v>
      </c>
      <c r="AG4" t="s">
        <v>94</v>
      </c>
      <c r="AH4" t="s">
        <v>95</v>
      </c>
      <c r="AI4" t="s">
        <v>96</v>
      </c>
      <c r="AJ4" t="s">
        <v>97</v>
      </c>
      <c r="AK4">
        <v>0</v>
      </c>
      <c r="AL4">
        <v>0</v>
      </c>
      <c r="AM4">
        <v>0</v>
      </c>
      <c r="AN4" t="s">
        <v>72</v>
      </c>
      <c r="AO4" t="s">
        <v>82</v>
      </c>
      <c r="AP4" t="s">
        <v>72</v>
      </c>
      <c r="AQ4" t="s">
        <v>72</v>
      </c>
      <c r="AR4" t="s">
        <v>72</v>
      </c>
      <c r="AS4" t="s">
        <v>72</v>
      </c>
      <c r="AT4" t="s">
        <v>72</v>
      </c>
      <c r="AU4" t="s">
        <v>72</v>
      </c>
      <c r="AV4" t="s">
        <v>72</v>
      </c>
      <c r="AW4" t="s">
        <v>72</v>
      </c>
      <c r="AX4" t="s">
        <v>103</v>
      </c>
      <c r="AY4">
        <v>39.397598299999999</v>
      </c>
      <c r="AZ4">
        <v>145</v>
      </c>
      <c r="BA4">
        <v>0.64</v>
      </c>
      <c r="BB4">
        <v>518.75201419999996</v>
      </c>
      <c r="BC4">
        <v>-9.4355999999999995E-2</v>
      </c>
      <c r="BD4">
        <v>0.123722</v>
      </c>
      <c r="BE4">
        <v>234.85400390000001</v>
      </c>
      <c r="BF4">
        <v>4.1088399999999998</v>
      </c>
      <c r="BG4">
        <v>0.50957799999999998</v>
      </c>
      <c r="BH4">
        <v>0.90334499999999995</v>
      </c>
      <c r="BI4">
        <v>0.82870299999999997</v>
      </c>
      <c r="BJ4">
        <v>304.39498900000001</v>
      </c>
      <c r="BK4">
        <v>7</v>
      </c>
      <c r="BL4">
        <v>17.684200300000001</v>
      </c>
      <c r="BM4">
        <v>823.29400629999998</v>
      </c>
      <c r="BN4">
        <v>3465.4799804999998</v>
      </c>
      <c r="BO4">
        <v>227.96099849999999</v>
      </c>
      <c r="BP4">
        <v>298</v>
      </c>
      <c r="BQ4">
        <v>5</v>
      </c>
      <c r="BR4">
        <v>3</v>
      </c>
    </row>
    <row r="5" spans="1:70" x14ac:dyDescent="0.25">
      <c r="A5">
        <v>3</v>
      </c>
      <c r="B5">
        <v>228</v>
      </c>
      <c r="C5">
        <v>88.433999999999898</v>
      </c>
      <c r="D5">
        <v>27.024000000000001</v>
      </c>
      <c r="E5" t="s">
        <v>104</v>
      </c>
      <c r="F5">
        <v>2</v>
      </c>
      <c r="G5" t="s">
        <v>72</v>
      </c>
      <c r="H5" t="s">
        <v>72</v>
      </c>
      <c r="I5" t="s">
        <v>72</v>
      </c>
      <c r="J5" t="s">
        <v>72</v>
      </c>
      <c r="K5">
        <v>35</v>
      </c>
      <c r="L5">
        <v>20</v>
      </c>
      <c r="M5">
        <v>35</v>
      </c>
      <c r="N5">
        <v>0</v>
      </c>
      <c r="O5" t="s">
        <v>105</v>
      </c>
      <c r="P5" t="s">
        <v>106</v>
      </c>
      <c r="Q5">
        <v>0</v>
      </c>
      <c r="R5" t="s">
        <v>72</v>
      </c>
      <c r="S5" t="s">
        <v>73</v>
      </c>
      <c r="T5" t="s">
        <v>74</v>
      </c>
      <c r="U5" t="s">
        <v>90</v>
      </c>
      <c r="V5" t="s">
        <v>72</v>
      </c>
      <c r="W5" t="s">
        <v>72</v>
      </c>
      <c r="X5" t="s">
        <v>77</v>
      </c>
      <c r="Y5">
        <v>0</v>
      </c>
      <c r="Z5" t="s">
        <v>72</v>
      </c>
      <c r="AA5" t="s">
        <v>72</v>
      </c>
      <c r="AB5" t="s">
        <v>72</v>
      </c>
      <c r="AC5" t="s">
        <v>72</v>
      </c>
      <c r="AD5" t="s">
        <v>93</v>
      </c>
      <c r="AE5">
        <v>0</v>
      </c>
      <c r="AF5" t="s">
        <v>79</v>
      </c>
      <c r="AG5" t="s">
        <v>94</v>
      </c>
      <c r="AH5" t="s">
        <v>72</v>
      </c>
      <c r="AI5" t="s">
        <v>96</v>
      </c>
      <c r="AJ5" t="s">
        <v>72</v>
      </c>
      <c r="AK5">
        <v>0</v>
      </c>
      <c r="AL5">
        <v>0</v>
      </c>
      <c r="AM5">
        <v>0</v>
      </c>
      <c r="AN5" t="s">
        <v>72</v>
      </c>
      <c r="AO5" t="s">
        <v>107</v>
      </c>
      <c r="AP5" t="s">
        <v>72</v>
      </c>
      <c r="AQ5" t="s">
        <v>72</v>
      </c>
      <c r="AR5" t="s">
        <v>72</v>
      </c>
      <c r="AS5" t="s">
        <v>72</v>
      </c>
      <c r="AT5" t="s">
        <v>72</v>
      </c>
      <c r="AU5" t="s">
        <v>72</v>
      </c>
      <c r="AV5" t="s">
        <v>72</v>
      </c>
      <c r="AW5" t="s">
        <v>72</v>
      </c>
      <c r="AX5" t="s">
        <v>72</v>
      </c>
      <c r="AY5">
        <v>6.3029799000000004</v>
      </c>
      <c r="AZ5">
        <v>164</v>
      </c>
      <c r="BA5">
        <v>-0.64</v>
      </c>
      <c r="BB5">
        <v>492.15399170000001</v>
      </c>
      <c r="BC5">
        <v>6.7216999999999997E-3</v>
      </c>
      <c r="BD5">
        <v>4.2111599999999999E-2</v>
      </c>
      <c r="BE5">
        <v>72.886901899999998</v>
      </c>
      <c r="BF5">
        <v>8.1300898000000004</v>
      </c>
      <c r="BG5">
        <v>0.40740999999999999</v>
      </c>
      <c r="BH5">
        <v>1.1731799999999999</v>
      </c>
      <c r="BI5">
        <v>0.88504000000000005</v>
      </c>
      <c r="BJ5">
        <v>35.355300900000003</v>
      </c>
      <c r="BK5">
        <v>7</v>
      </c>
      <c r="BL5">
        <v>29.757099199999999</v>
      </c>
      <c r="BM5">
        <v>504.51098630000001</v>
      </c>
      <c r="BN5">
        <v>3790</v>
      </c>
      <c r="BO5">
        <v>95.194396999999995</v>
      </c>
      <c r="BP5">
        <v>151</v>
      </c>
      <c r="BQ5">
        <v>6</v>
      </c>
      <c r="BR5">
        <v>6</v>
      </c>
    </row>
    <row r="6" spans="1:70" x14ac:dyDescent="0.25">
      <c r="A6">
        <v>4</v>
      </c>
      <c r="B6">
        <v>10252</v>
      </c>
      <c r="C6">
        <v>88.432139000000006</v>
      </c>
      <c r="D6">
        <v>27.024806000000002</v>
      </c>
      <c r="E6" t="s">
        <v>108</v>
      </c>
      <c r="F6">
        <v>1</v>
      </c>
      <c r="G6" t="s">
        <v>102</v>
      </c>
      <c r="H6" t="s">
        <v>72</v>
      </c>
      <c r="I6" t="s">
        <v>72</v>
      </c>
      <c r="J6" t="s">
        <v>88</v>
      </c>
      <c r="K6">
        <v>10</v>
      </c>
      <c r="L6">
        <v>5</v>
      </c>
      <c r="M6">
        <v>6</v>
      </c>
      <c r="N6">
        <v>50</v>
      </c>
      <c r="O6" t="s">
        <v>89</v>
      </c>
      <c r="P6" t="s">
        <v>72</v>
      </c>
      <c r="Q6">
        <v>50</v>
      </c>
      <c r="R6" t="s">
        <v>72</v>
      </c>
      <c r="S6" t="s">
        <v>73</v>
      </c>
      <c r="T6" t="s">
        <v>74</v>
      </c>
      <c r="U6" t="s">
        <v>90</v>
      </c>
      <c r="V6" t="s">
        <v>109</v>
      </c>
      <c r="W6" t="s">
        <v>76</v>
      </c>
      <c r="X6" t="s">
        <v>77</v>
      </c>
      <c r="Y6">
        <v>2015</v>
      </c>
      <c r="Z6" t="s">
        <v>72</v>
      </c>
      <c r="AA6" t="s">
        <v>72</v>
      </c>
      <c r="AB6" t="s">
        <v>72</v>
      </c>
      <c r="AC6" t="s">
        <v>72</v>
      </c>
      <c r="AD6" t="s">
        <v>109</v>
      </c>
      <c r="AE6">
        <v>0</v>
      </c>
      <c r="AF6" t="s">
        <v>79</v>
      </c>
      <c r="AG6" t="s">
        <v>94</v>
      </c>
      <c r="AH6" t="s">
        <v>95</v>
      </c>
      <c r="AI6" t="s">
        <v>96</v>
      </c>
      <c r="AJ6" t="s">
        <v>97</v>
      </c>
      <c r="AK6">
        <v>2016</v>
      </c>
      <c r="AL6">
        <v>0</v>
      </c>
      <c r="AM6">
        <v>0</v>
      </c>
      <c r="AN6" t="s">
        <v>98</v>
      </c>
      <c r="AO6" t="s">
        <v>82</v>
      </c>
      <c r="AP6" t="s">
        <v>99</v>
      </c>
      <c r="AQ6" t="s">
        <v>72</v>
      </c>
      <c r="AR6" t="s">
        <v>72</v>
      </c>
      <c r="AS6" t="s">
        <v>72</v>
      </c>
      <c r="AT6" t="s">
        <v>72</v>
      </c>
      <c r="AU6" t="s">
        <v>72</v>
      </c>
      <c r="AV6" t="s">
        <v>72</v>
      </c>
      <c r="AW6" t="s">
        <v>72</v>
      </c>
      <c r="AX6" t="s">
        <v>110</v>
      </c>
      <c r="AY6">
        <v>19.826999699999998</v>
      </c>
      <c r="AZ6">
        <v>181</v>
      </c>
      <c r="BA6">
        <v>0.64</v>
      </c>
      <c r="BB6">
        <v>477.15701289999998</v>
      </c>
      <c r="BC6">
        <v>-0.125194</v>
      </c>
      <c r="BD6">
        <v>0.167189</v>
      </c>
      <c r="BE6">
        <v>12.5</v>
      </c>
      <c r="BF6">
        <v>5.4917498</v>
      </c>
      <c r="BG6">
        <v>0.453704</v>
      </c>
      <c r="BH6">
        <v>0.77458499999999997</v>
      </c>
      <c r="BI6">
        <v>0.89756899999999995</v>
      </c>
      <c r="BJ6">
        <v>100</v>
      </c>
      <c r="BK6">
        <v>7</v>
      </c>
      <c r="BL6">
        <v>33.099498699999998</v>
      </c>
      <c r="BM6">
        <v>324.2780151</v>
      </c>
      <c r="BN6">
        <v>3994.0600586</v>
      </c>
      <c r="BO6">
        <v>33.690101599999998</v>
      </c>
      <c r="BP6">
        <v>191</v>
      </c>
      <c r="BQ6">
        <v>6</v>
      </c>
      <c r="BR6">
        <v>7</v>
      </c>
    </row>
    <row r="7" spans="1:70" x14ac:dyDescent="0.25">
      <c r="A7">
        <v>5</v>
      </c>
      <c r="B7">
        <v>10211</v>
      </c>
      <c r="C7">
        <v>88.451397999999898</v>
      </c>
      <c r="D7">
        <v>27.025358000000001</v>
      </c>
      <c r="E7" t="s">
        <v>111</v>
      </c>
      <c r="F7">
        <v>1</v>
      </c>
      <c r="G7" t="s">
        <v>112</v>
      </c>
      <c r="H7" t="s">
        <v>72</v>
      </c>
      <c r="I7" t="s">
        <v>72</v>
      </c>
      <c r="J7" t="s">
        <v>88</v>
      </c>
      <c r="K7">
        <v>10</v>
      </c>
      <c r="L7">
        <v>14</v>
      </c>
      <c r="M7">
        <v>0</v>
      </c>
      <c r="N7">
        <v>140</v>
      </c>
      <c r="O7" t="s">
        <v>89</v>
      </c>
      <c r="P7" t="s">
        <v>72</v>
      </c>
      <c r="Q7">
        <v>140</v>
      </c>
      <c r="R7" t="s">
        <v>72</v>
      </c>
      <c r="S7" t="s">
        <v>73</v>
      </c>
      <c r="T7" t="s">
        <v>74</v>
      </c>
      <c r="U7" t="s">
        <v>90</v>
      </c>
      <c r="V7" t="s">
        <v>72</v>
      </c>
      <c r="W7" t="s">
        <v>76</v>
      </c>
      <c r="X7" t="s">
        <v>77</v>
      </c>
      <c r="Y7">
        <v>2006</v>
      </c>
      <c r="Z7" t="s">
        <v>72</v>
      </c>
      <c r="AA7" t="s">
        <v>72</v>
      </c>
      <c r="AB7" t="s">
        <v>72</v>
      </c>
      <c r="AC7" t="s">
        <v>72</v>
      </c>
      <c r="AD7" t="s">
        <v>72</v>
      </c>
      <c r="AE7">
        <v>0</v>
      </c>
      <c r="AF7" t="s">
        <v>79</v>
      </c>
      <c r="AG7" t="s">
        <v>94</v>
      </c>
      <c r="AH7" t="s">
        <v>95</v>
      </c>
      <c r="AI7" t="s">
        <v>96</v>
      </c>
      <c r="AJ7" t="s">
        <v>113</v>
      </c>
      <c r="AK7">
        <v>0</v>
      </c>
      <c r="AL7">
        <v>0</v>
      </c>
      <c r="AM7">
        <v>0</v>
      </c>
      <c r="AN7" t="s">
        <v>98</v>
      </c>
      <c r="AO7" t="s">
        <v>72</v>
      </c>
      <c r="AP7" t="s">
        <v>114</v>
      </c>
      <c r="AQ7" t="s">
        <v>72</v>
      </c>
      <c r="AR7" t="s">
        <v>72</v>
      </c>
      <c r="AS7" t="s">
        <v>72</v>
      </c>
      <c r="AT7" t="s">
        <v>72</v>
      </c>
      <c r="AU7" t="s">
        <v>72</v>
      </c>
      <c r="AV7" t="s">
        <v>72</v>
      </c>
      <c r="AW7" t="s">
        <v>72</v>
      </c>
      <c r="AX7" t="s">
        <v>72</v>
      </c>
      <c r="AY7">
        <v>32.472499800000001</v>
      </c>
      <c r="AZ7">
        <v>210</v>
      </c>
      <c r="BA7">
        <v>-2.5599999000000002</v>
      </c>
      <c r="BB7">
        <v>551.93103029999997</v>
      </c>
      <c r="BC7">
        <v>-0.14327599999999999</v>
      </c>
      <c r="BD7">
        <v>0.196051</v>
      </c>
      <c r="BE7">
        <v>1056.5999756000001</v>
      </c>
      <c r="BF7">
        <v>4.3895401999999999</v>
      </c>
      <c r="BG7">
        <v>0.5</v>
      </c>
      <c r="BH7">
        <v>0.62304000000000004</v>
      </c>
      <c r="BI7">
        <v>0.188531</v>
      </c>
      <c r="BJ7">
        <v>632.57897949999995</v>
      </c>
      <c r="BK7">
        <v>7</v>
      </c>
      <c r="BL7">
        <v>0.39806799999999998</v>
      </c>
      <c r="BM7">
        <v>1543.6400146000001</v>
      </c>
      <c r="BN7">
        <v>2699.1000976999999</v>
      </c>
      <c r="BO7">
        <v>261.86999509999998</v>
      </c>
      <c r="BP7">
        <v>625</v>
      </c>
      <c r="BQ7">
        <v>5</v>
      </c>
      <c r="BR7">
        <v>3</v>
      </c>
    </row>
    <row r="8" spans="1:70" x14ac:dyDescent="0.25">
      <c r="A8">
        <v>6</v>
      </c>
      <c r="B8">
        <v>10212</v>
      </c>
      <c r="C8">
        <v>88.450806999999898</v>
      </c>
      <c r="D8">
        <v>27.025524999999899</v>
      </c>
      <c r="E8" t="s">
        <v>115</v>
      </c>
      <c r="F8">
        <v>1</v>
      </c>
      <c r="G8" t="s">
        <v>112</v>
      </c>
      <c r="H8" t="s">
        <v>72</v>
      </c>
      <c r="I8" t="s">
        <v>72</v>
      </c>
      <c r="J8" t="s">
        <v>88</v>
      </c>
      <c r="K8">
        <v>62</v>
      </c>
      <c r="L8">
        <v>5</v>
      </c>
      <c r="M8">
        <v>0</v>
      </c>
      <c r="N8">
        <v>310</v>
      </c>
      <c r="O8" t="s">
        <v>89</v>
      </c>
      <c r="P8" t="s">
        <v>72</v>
      </c>
      <c r="Q8">
        <v>310</v>
      </c>
      <c r="R8" t="s">
        <v>72</v>
      </c>
      <c r="S8" t="s">
        <v>73</v>
      </c>
      <c r="T8" t="s">
        <v>74</v>
      </c>
      <c r="U8" t="s">
        <v>90</v>
      </c>
      <c r="V8" t="s">
        <v>72</v>
      </c>
      <c r="W8" t="s">
        <v>76</v>
      </c>
      <c r="X8" t="s">
        <v>77</v>
      </c>
      <c r="Y8">
        <v>2015</v>
      </c>
      <c r="Z8" t="s">
        <v>72</v>
      </c>
      <c r="AA8" t="s">
        <v>72</v>
      </c>
      <c r="AB8" t="s">
        <v>72</v>
      </c>
      <c r="AC8" t="s">
        <v>72</v>
      </c>
      <c r="AD8" t="s">
        <v>72</v>
      </c>
      <c r="AE8">
        <v>0</v>
      </c>
      <c r="AF8" t="s">
        <v>79</v>
      </c>
      <c r="AG8" t="s">
        <v>94</v>
      </c>
      <c r="AH8" t="s">
        <v>95</v>
      </c>
      <c r="AI8" t="s">
        <v>96</v>
      </c>
      <c r="AJ8" t="s">
        <v>113</v>
      </c>
      <c r="AK8">
        <v>0</v>
      </c>
      <c r="AL8">
        <v>0</v>
      </c>
      <c r="AM8">
        <v>0</v>
      </c>
      <c r="AN8" t="s">
        <v>98</v>
      </c>
      <c r="AO8" t="s">
        <v>72</v>
      </c>
      <c r="AP8" t="s">
        <v>114</v>
      </c>
      <c r="AQ8" t="s">
        <v>72</v>
      </c>
      <c r="AR8" t="s">
        <v>72</v>
      </c>
      <c r="AS8" t="s">
        <v>72</v>
      </c>
      <c r="AT8" t="s">
        <v>72</v>
      </c>
      <c r="AU8" t="s">
        <v>72</v>
      </c>
      <c r="AV8" t="s">
        <v>72</v>
      </c>
      <c r="AW8" t="s">
        <v>72</v>
      </c>
      <c r="AX8" t="s">
        <v>72</v>
      </c>
      <c r="AY8">
        <v>25.426200900000001</v>
      </c>
      <c r="AZ8">
        <v>201</v>
      </c>
      <c r="BA8">
        <v>-1.28</v>
      </c>
      <c r="BB8">
        <v>553.35400389999995</v>
      </c>
      <c r="BC8">
        <v>-0.172787</v>
      </c>
      <c r="BD8">
        <v>0.21728800000000001</v>
      </c>
      <c r="BE8">
        <v>1011.8800049</v>
      </c>
      <c r="BF8">
        <v>6.2137798999999996</v>
      </c>
      <c r="BG8">
        <v>0.49629699999999999</v>
      </c>
      <c r="BH8">
        <v>2.1489201000000002</v>
      </c>
      <c r="BI8">
        <v>0.19092100000000001</v>
      </c>
      <c r="BJ8">
        <v>592.92700200000002</v>
      </c>
      <c r="BK8">
        <v>7</v>
      </c>
      <c r="BL8">
        <v>0.39806799999999998</v>
      </c>
      <c r="BM8">
        <v>1552.4699707</v>
      </c>
      <c r="BN8">
        <v>2753.4099120999999</v>
      </c>
      <c r="BO8">
        <v>255.37899780000001</v>
      </c>
      <c r="BP8">
        <v>595</v>
      </c>
      <c r="BQ8">
        <v>5</v>
      </c>
      <c r="BR8">
        <v>3</v>
      </c>
    </row>
    <row r="9" spans="1:70" x14ac:dyDescent="0.25">
      <c r="A9">
        <v>7</v>
      </c>
      <c r="B9">
        <v>227</v>
      </c>
      <c r="C9">
        <v>88.432000000000002</v>
      </c>
      <c r="D9">
        <v>27.027999999999899</v>
      </c>
      <c r="E9" t="s">
        <v>116</v>
      </c>
      <c r="F9">
        <v>3</v>
      </c>
      <c r="G9" t="s">
        <v>117</v>
      </c>
      <c r="H9" t="s">
        <v>72</v>
      </c>
      <c r="I9" t="s">
        <v>72</v>
      </c>
      <c r="J9" t="s">
        <v>72</v>
      </c>
      <c r="K9">
        <v>55</v>
      </c>
      <c r="L9">
        <v>50</v>
      </c>
      <c r="M9">
        <v>55</v>
      </c>
      <c r="N9">
        <v>0</v>
      </c>
      <c r="O9" t="s">
        <v>89</v>
      </c>
      <c r="P9" t="s">
        <v>118</v>
      </c>
      <c r="Q9">
        <v>0</v>
      </c>
      <c r="R9" t="s">
        <v>72</v>
      </c>
      <c r="S9" t="s">
        <v>73</v>
      </c>
      <c r="T9" t="s">
        <v>74</v>
      </c>
      <c r="U9" t="s">
        <v>90</v>
      </c>
      <c r="V9" t="s">
        <v>72</v>
      </c>
      <c r="W9" t="s">
        <v>72</v>
      </c>
      <c r="X9" t="s">
        <v>119</v>
      </c>
      <c r="Y9">
        <v>0</v>
      </c>
      <c r="Z9" t="s">
        <v>72</v>
      </c>
      <c r="AA9" t="s">
        <v>72</v>
      </c>
      <c r="AB9" t="s">
        <v>72</v>
      </c>
      <c r="AC9" t="s">
        <v>72</v>
      </c>
      <c r="AD9" t="s">
        <v>120</v>
      </c>
      <c r="AE9">
        <v>0</v>
      </c>
      <c r="AF9" t="s">
        <v>79</v>
      </c>
      <c r="AG9" t="s">
        <v>94</v>
      </c>
      <c r="AH9" t="s">
        <v>72</v>
      </c>
      <c r="AI9" t="s">
        <v>121</v>
      </c>
      <c r="AJ9" t="s">
        <v>113</v>
      </c>
      <c r="AK9">
        <v>0</v>
      </c>
      <c r="AL9">
        <v>0</v>
      </c>
      <c r="AM9">
        <v>0</v>
      </c>
      <c r="AN9" t="s">
        <v>72</v>
      </c>
      <c r="AO9" t="s">
        <v>72</v>
      </c>
      <c r="AP9" t="s">
        <v>72</v>
      </c>
      <c r="AQ9" t="s">
        <v>72</v>
      </c>
      <c r="AR9" t="s">
        <v>72</v>
      </c>
      <c r="AS9" t="s">
        <v>72</v>
      </c>
      <c r="AT9" t="s">
        <v>72</v>
      </c>
      <c r="AU9" t="s">
        <v>72</v>
      </c>
      <c r="AV9" t="s">
        <v>122</v>
      </c>
      <c r="AW9" t="s">
        <v>72</v>
      </c>
      <c r="AX9" t="s">
        <v>72</v>
      </c>
      <c r="AY9">
        <v>43.655898999999998</v>
      </c>
      <c r="AZ9">
        <v>156</v>
      </c>
      <c r="BA9">
        <v>-0.64</v>
      </c>
      <c r="BB9">
        <v>487.66198730000002</v>
      </c>
      <c r="BC9">
        <v>-0.132824</v>
      </c>
      <c r="BD9">
        <v>0.18190100000000001</v>
      </c>
      <c r="BE9">
        <v>190.3939972</v>
      </c>
      <c r="BF9">
        <v>4.7698897999999996</v>
      </c>
      <c r="BG9">
        <v>0.49494899999999997</v>
      </c>
      <c r="BH9">
        <v>2.0336799999999999</v>
      </c>
      <c r="BI9">
        <v>0.95416299999999998</v>
      </c>
      <c r="BJ9">
        <v>123.7440033</v>
      </c>
      <c r="BK9">
        <v>7</v>
      </c>
      <c r="BL9">
        <v>36.497600599999998</v>
      </c>
      <c r="BM9">
        <v>125.6230011</v>
      </c>
      <c r="BN9">
        <v>4220.8598633000001</v>
      </c>
      <c r="BO9">
        <v>236.97599790000001</v>
      </c>
      <c r="BP9">
        <v>217</v>
      </c>
      <c r="BQ9">
        <v>6</v>
      </c>
      <c r="BR9">
        <v>3</v>
      </c>
    </row>
    <row r="10" spans="1:70" x14ac:dyDescent="0.25">
      <c r="A10">
        <v>8</v>
      </c>
      <c r="B10">
        <v>425</v>
      </c>
      <c r="C10">
        <v>88.427000000000007</v>
      </c>
      <c r="D10">
        <v>27.029</v>
      </c>
      <c r="E10" t="s">
        <v>123</v>
      </c>
      <c r="F10">
        <v>2</v>
      </c>
      <c r="G10" t="s">
        <v>72</v>
      </c>
      <c r="H10" t="s">
        <v>72</v>
      </c>
      <c r="I10" t="s">
        <v>72</v>
      </c>
      <c r="J10" t="s">
        <v>72</v>
      </c>
      <c r="K10">
        <v>35</v>
      </c>
      <c r="L10">
        <v>20</v>
      </c>
      <c r="M10">
        <v>35</v>
      </c>
      <c r="N10">
        <v>0</v>
      </c>
      <c r="O10" t="s">
        <v>105</v>
      </c>
      <c r="P10" t="s">
        <v>106</v>
      </c>
      <c r="Q10">
        <v>0</v>
      </c>
      <c r="R10" t="s">
        <v>72</v>
      </c>
      <c r="S10" t="s">
        <v>73</v>
      </c>
      <c r="T10" t="s">
        <v>74</v>
      </c>
      <c r="U10" t="s">
        <v>90</v>
      </c>
      <c r="V10" t="s">
        <v>72</v>
      </c>
      <c r="W10" t="s">
        <v>72</v>
      </c>
      <c r="X10" t="s">
        <v>77</v>
      </c>
      <c r="Y10">
        <v>0</v>
      </c>
      <c r="Z10" t="s">
        <v>72</v>
      </c>
      <c r="AA10" t="s">
        <v>72</v>
      </c>
      <c r="AB10" t="s">
        <v>72</v>
      </c>
      <c r="AC10" t="s">
        <v>72</v>
      </c>
      <c r="AD10" t="s">
        <v>93</v>
      </c>
      <c r="AE10">
        <v>0</v>
      </c>
      <c r="AF10" t="s">
        <v>79</v>
      </c>
      <c r="AG10" t="s">
        <v>94</v>
      </c>
      <c r="AH10" t="s">
        <v>72</v>
      </c>
      <c r="AI10" t="s">
        <v>96</v>
      </c>
      <c r="AJ10" t="s">
        <v>72</v>
      </c>
      <c r="AK10">
        <v>0</v>
      </c>
      <c r="AL10">
        <v>0</v>
      </c>
      <c r="AM10">
        <v>0</v>
      </c>
      <c r="AN10" t="s">
        <v>72</v>
      </c>
      <c r="AO10" t="s">
        <v>124</v>
      </c>
      <c r="AP10" t="s">
        <v>72</v>
      </c>
      <c r="AQ10" t="s">
        <v>72</v>
      </c>
      <c r="AR10" t="s">
        <v>72</v>
      </c>
      <c r="AS10" t="s">
        <v>72</v>
      </c>
      <c r="AT10" t="s">
        <v>72</v>
      </c>
      <c r="AU10" t="s">
        <v>72</v>
      </c>
      <c r="AV10" t="s">
        <v>72</v>
      </c>
      <c r="AW10" t="s">
        <v>72</v>
      </c>
      <c r="AX10" t="s">
        <v>72</v>
      </c>
      <c r="AY10">
        <v>30.106300399999999</v>
      </c>
      <c r="AZ10">
        <v>67</v>
      </c>
      <c r="BA10">
        <v>-1.92</v>
      </c>
      <c r="BB10">
        <v>527.45001219999995</v>
      </c>
      <c r="BC10">
        <v>-0.13677700000000001</v>
      </c>
      <c r="BD10">
        <v>0.15697700000000001</v>
      </c>
      <c r="BE10">
        <v>12.5</v>
      </c>
      <c r="BF10">
        <v>6.1872501</v>
      </c>
      <c r="BG10">
        <v>0.433863</v>
      </c>
      <c r="BH10">
        <v>1.82162</v>
      </c>
      <c r="BI10">
        <v>0.83759600000000001</v>
      </c>
      <c r="BJ10">
        <v>50</v>
      </c>
      <c r="BK10">
        <v>4</v>
      </c>
      <c r="BL10">
        <v>46.755901299999998</v>
      </c>
      <c r="BM10">
        <v>328.82400510000002</v>
      </c>
      <c r="BN10">
        <v>4671.7402344000002</v>
      </c>
      <c r="BO10">
        <v>147.67999270000001</v>
      </c>
      <c r="BP10">
        <v>190</v>
      </c>
      <c r="BQ10">
        <v>6</v>
      </c>
      <c r="BR10">
        <v>6</v>
      </c>
    </row>
    <row r="11" spans="1:70" x14ac:dyDescent="0.25">
      <c r="A11">
        <v>9</v>
      </c>
      <c r="B11">
        <v>10836</v>
      </c>
      <c r="C11">
        <v>88.428334000000007</v>
      </c>
      <c r="D11">
        <v>27.030176000000001</v>
      </c>
      <c r="E11" t="s">
        <v>125</v>
      </c>
      <c r="F11">
        <v>2</v>
      </c>
      <c r="G11" t="s">
        <v>102</v>
      </c>
      <c r="H11" t="s">
        <v>72</v>
      </c>
      <c r="I11" t="s">
        <v>72</v>
      </c>
      <c r="J11" t="s">
        <v>88</v>
      </c>
      <c r="K11">
        <v>35</v>
      </c>
      <c r="L11">
        <v>20</v>
      </c>
      <c r="M11">
        <v>30</v>
      </c>
      <c r="N11">
        <v>700</v>
      </c>
      <c r="O11" t="s">
        <v>89</v>
      </c>
      <c r="P11" t="s">
        <v>72</v>
      </c>
      <c r="Q11">
        <v>1400</v>
      </c>
      <c r="R11" t="s">
        <v>72</v>
      </c>
      <c r="S11" t="s">
        <v>73</v>
      </c>
      <c r="T11" t="s">
        <v>74</v>
      </c>
      <c r="U11" t="s">
        <v>90</v>
      </c>
      <c r="V11" t="s">
        <v>126</v>
      </c>
      <c r="W11" t="s">
        <v>92</v>
      </c>
      <c r="X11" t="s">
        <v>77</v>
      </c>
      <c r="Y11">
        <v>2011</v>
      </c>
      <c r="Z11" t="s">
        <v>72</v>
      </c>
      <c r="AA11" t="s">
        <v>72</v>
      </c>
      <c r="AB11" t="s">
        <v>72</v>
      </c>
      <c r="AC11" t="s">
        <v>72</v>
      </c>
      <c r="AD11" t="s">
        <v>93</v>
      </c>
      <c r="AE11">
        <v>0</v>
      </c>
      <c r="AF11" t="s">
        <v>79</v>
      </c>
      <c r="AG11" t="s">
        <v>94</v>
      </c>
      <c r="AH11" t="s">
        <v>95</v>
      </c>
      <c r="AI11" t="s">
        <v>96</v>
      </c>
      <c r="AJ11" t="s">
        <v>97</v>
      </c>
      <c r="AK11">
        <v>0</v>
      </c>
      <c r="AL11">
        <v>0</v>
      </c>
      <c r="AM11">
        <v>0</v>
      </c>
      <c r="AN11" t="s">
        <v>98</v>
      </c>
      <c r="AO11" t="s">
        <v>82</v>
      </c>
      <c r="AP11" t="s">
        <v>114</v>
      </c>
      <c r="AQ11" t="s">
        <v>72</v>
      </c>
      <c r="AR11" t="s">
        <v>72</v>
      </c>
      <c r="AS11" t="s">
        <v>72</v>
      </c>
      <c r="AT11" t="s">
        <v>72</v>
      </c>
      <c r="AU11" t="s">
        <v>72</v>
      </c>
      <c r="AV11" t="s">
        <v>72</v>
      </c>
      <c r="AW11" t="s">
        <v>72</v>
      </c>
      <c r="AX11" t="s">
        <v>103</v>
      </c>
      <c r="AY11">
        <v>43.354198500000003</v>
      </c>
      <c r="AZ11">
        <v>12</v>
      </c>
      <c r="BA11">
        <v>0</v>
      </c>
      <c r="BB11">
        <v>492.69000240000003</v>
      </c>
      <c r="BC11">
        <v>-0.15560599999999999</v>
      </c>
      <c r="BD11">
        <v>0.18427299999999999</v>
      </c>
      <c r="BE11">
        <v>27.9507999</v>
      </c>
      <c r="BF11">
        <v>4.3749700000000002</v>
      </c>
      <c r="BG11">
        <v>0.49652800000000002</v>
      </c>
      <c r="BH11">
        <v>1.55322</v>
      </c>
      <c r="BI11">
        <v>0.82078399999999996</v>
      </c>
      <c r="BJ11">
        <v>125.6230011</v>
      </c>
      <c r="BK11">
        <v>4</v>
      </c>
      <c r="BL11">
        <v>43.978198999999996</v>
      </c>
      <c r="BM11">
        <v>185.82600400000001</v>
      </c>
      <c r="BN11">
        <v>4652.8598633000001</v>
      </c>
      <c r="BO11">
        <v>118.4649963</v>
      </c>
      <c r="BP11">
        <v>200</v>
      </c>
      <c r="BQ11">
        <v>6</v>
      </c>
      <c r="BR11">
        <v>7</v>
      </c>
    </row>
    <row r="12" spans="1:70" x14ac:dyDescent="0.25">
      <c r="A12">
        <v>10</v>
      </c>
      <c r="B12">
        <v>10253</v>
      </c>
      <c r="C12">
        <v>88.428611000000004</v>
      </c>
      <c r="D12">
        <v>27.034972</v>
      </c>
      <c r="E12" t="s">
        <v>127</v>
      </c>
      <c r="F12">
        <v>1</v>
      </c>
      <c r="G12" t="s">
        <v>102</v>
      </c>
      <c r="H12" t="s">
        <v>72</v>
      </c>
      <c r="I12" t="s">
        <v>72</v>
      </c>
      <c r="J12" t="s">
        <v>88</v>
      </c>
      <c r="K12">
        <v>10</v>
      </c>
      <c r="L12">
        <v>3</v>
      </c>
      <c r="M12">
        <v>0</v>
      </c>
      <c r="N12">
        <v>30</v>
      </c>
      <c r="O12" t="s">
        <v>89</v>
      </c>
      <c r="P12" t="s">
        <v>72</v>
      </c>
      <c r="Q12">
        <v>30</v>
      </c>
      <c r="R12" t="s">
        <v>72</v>
      </c>
      <c r="S12" t="s">
        <v>73</v>
      </c>
      <c r="T12" t="s">
        <v>74</v>
      </c>
      <c r="U12" t="s">
        <v>90</v>
      </c>
      <c r="V12" t="s">
        <v>109</v>
      </c>
      <c r="W12" t="s">
        <v>76</v>
      </c>
      <c r="X12" t="s">
        <v>77</v>
      </c>
      <c r="Y12">
        <v>2014</v>
      </c>
      <c r="Z12" t="s">
        <v>72</v>
      </c>
      <c r="AA12" t="s">
        <v>72</v>
      </c>
      <c r="AB12" t="s">
        <v>72</v>
      </c>
      <c r="AC12" t="s">
        <v>72</v>
      </c>
      <c r="AD12" t="s">
        <v>109</v>
      </c>
      <c r="AE12">
        <v>0</v>
      </c>
      <c r="AF12" t="s">
        <v>79</v>
      </c>
      <c r="AG12" t="s">
        <v>128</v>
      </c>
      <c r="AH12" t="s">
        <v>95</v>
      </c>
      <c r="AI12" t="s">
        <v>96</v>
      </c>
      <c r="AJ12" t="s">
        <v>97</v>
      </c>
      <c r="AK12">
        <v>0</v>
      </c>
      <c r="AL12">
        <v>0</v>
      </c>
      <c r="AM12">
        <v>0</v>
      </c>
      <c r="AN12" t="s">
        <v>98</v>
      </c>
      <c r="AO12" t="s">
        <v>82</v>
      </c>
      <c r="AP12" t="s">
        <v>99</v>
      </c>
      <c r="AQ12" t="s">
        <v>72</v>
      </c>
      <c r="AR12" t="s">
        <v>72</v>
      </c>
      <c r="AS12" t="s">
        <v>72</v>
      </c>
      <c r="AT12" t="s">
        <v>72</v>
      </c>
      <c r="AU12" t="s">
        <v>72</v>
      </c>
      <c r="AV12" t="s">
        <v>72</v>
      </c>
      <c r="AW12" t="s">
        <v>72</v>
      </c>
      <c r="AX12" t="s">
        <v>110</v>
      </c>
      <c r="AY12">
        <v>28.910499600000001</v>
      </c>
      <c r="AZ12">
        <v>162</v>
      </c>
      <c r="BA12">
        <v>0.64</v>
      </c>
      <c r="BB12">
        <v>513.85998540000003</v>
      </c>
      <c r="BC12">
        <v>-0.11278199999999999</v>
      </c>
      <c r="BD12">
        <v>0.15514800000000001</v>
      </c>
      <c r="BE12">
        <v>0</v>
      </c>
      <c r="BF12">
        <v>6.2801399</v>
      </c>
      <c r="BG12">
        <v>0.48888900000000002</v>
      </c>
      <c r="BH12">
        <v>2.7242400999999998</v>
      </c>
      <c r="BI12">
        <v>0.71584099999999995</v>
      </c>
      <c r="BJ12">
        <v>25</v>
      </c>
      <c r="BK12">
        <v>7</v>
      </c>
      <c r="BL12">
        <v>37.458599100000001</v>
      </c>
      <c r="BM12">
        <v>75</v>
      </c>
      <c r="BN12">
        <v>4971.9501952999999</v>
      </c>
      <c r="BO12">
        <v>42.064300500000002</v>
      </c>
      <c r="BP12">
        <v>187</v>
      </c>
      <c r="BQ12">
        <v>6</v>
      </c>
      <c r="BR12">
        <v>7</v>
      </c>
    </row>
    <row r="13" spans="1:70" x14ac:dyDescent="0.25">
      <c r="A13">
        <v>11</v>
      </c>
      <c r="B13">
        <v>10316</v>
      </c>
      <c r="C13">
        <v>88.426019999999895</v>
      </c>
      <c r="D13">
        <v>27.038159</v>
      </c>
      <c r="E13" t="s">
        <v>129</v>
      </c>
      <c r="F13">
        <v>3</v>
      </c>
      <c r="G13" t="s">
        <v>130</v>
      </c>
      <c r="H13" t="s">
        <v>72</v>
      </c>
      <c r="I13" t="s">
        <v>72</v>
      </c>
      <c r="J13" t="s">
        <v>88</v>
      </c>
      <c r="K13">
        <v>100</v>
      </c>
      <c r="L13">
        <v>20</v>
      </c>
      <c r="M13">
        <v>60</v>
      </c>
      <c r="N13">
        <v>2000</v>
      </c>
      <c r="O13" t="s">
        <v>89</v>
      </c>
      <c r="P13" t="s">
        <v>72</v>
      </c>
      <c r="Q13">
        <v>6000</v>
      </c>
      <c r="R13" t="s">
        <v>72</v>
      </c>
      <c r="S13" t="s">
        <v>73</v>
      </c>
      <c r="T13" t="s">
        <v>74</v>
      </c>
      <c r="U13" t="s">
        <v>90</v>
      </c>
      <c r="V13" t="s">
        <v>131</v>
      </c>
      <c r="W13" t="s">
        <v>76</v>
      </c>
      <c r="X13" t="s">
        <v>77</v>
      </c>
      <c r="Y13">
        <v>2007</v>
      </c>
      <c r="Z13" t="s">
        <v>72</v>
      </c>
      <c r="AA13" t="s">
        <v>72</v>
      </c>
      <c r="AB13" t="s">
        <v>72</v>
      </c>
      <c r="AC13" t="s">
        <v>72</v>
      </c>
      <c r="AD13" t="s">
        <v>132</v>
      </c>
      <c r="AE13">
        <v>0</v>
      </c>
      <c r="AF13" t="s">
        <v>79</v>
      </c>
      <c r="AG13" t="s">
        <v>133</v>
      </c>
      <c r="AH13" t="s">
        <v>95</v>
      </c>
      <c r="AI13" t="s">
        <v>96</v>
      </c>
      <c r="AJ13" t="s">
        <v>97</v>
      </c>
      <c r="AK13">
        <v>0</v>
      </c>
      <c r="AL13">
        <v>0</v>
      </c>
      <c r="AM13">
        <v>0</v>
      </c>
      <c r="AN13" t="s">
        <v>134</v>
      </c>
      <c r="AO13" t="s">
        <v>82</v>
      </c>
      <c r="AP13" t="s">
        <v>99</v>
      </c>
      <c r="AQ13" t="s">
        <v>72</v>
      </c>
      <c r="AR13" t="s">
        <v>72</v>
      </c>
      <c r="AS13" t="s">
        <v>72</v>
      </c>
      <c r="AT13" t="s">
        <v>135</v>
      </c>
      <c r="AU13" t="s">
        <v>72</v>
      </c>
      <c r="AV13" t="s">
        <v>136</v>
      </c>
      <c r="AW13" t="s">
        <v>72</v>
      </c>
      <c r="AX13" t="s">
        <v>137</v>
      </c>
      <c r="AY13">
        <v>59.366699199999999</v>
      </c>
      <c r="AZ13">
        <v>160</v>
      </c>
      <c r="BA13">
        <v>6.4000000999999997</v>
      </c>
      <c r="BB13">
        <v>541.96197510000002</v>
      </c>
      <c r="BC13">
        <v>-0.165215</v>
      </c>
      <c r="BD13">
        <v>0.20843400000000001</v>
      </c>
      <c r="BE13">
        <v>75</v>
      </c>
      <c r="BF13">
        <v>2.4424600999999999</v>
      </c>
      <c r="BG13">
        <v>0.59401700000000002</v>
      </c>
      <c r="BH13">
        <v>-6.8235697999999996</v>
      </c>
      <c r="BI13">
        <v>0.88646000000000003</v>
      </c>
      <c r="BJ13">
        <v>275</v>
      </c>
      <c r="BK13">
        <v>4</v>
      </c>
      <c r="BL13">
        <v>37.967700999999998</v>
      </c>
      <c r="BM13">
        <v>273.00399779999998</v>
      </c>
      <c r="BN13">
        <v>5402.6201172000001</v>
      </c>
      <c r="BO13">
        <v>18.649499899999999</v>
      </c>
      <c r="BP13">
        <v>355</v>
      </c>
      <c r="BQ13">
        <v>6</v>
      </c>
      <c r="BR13">
        <v>7</v>
      </c>
    </row>
    <row r="14" spans="1:70" x14ac:dyDescent="0.25">
      <c r="A14">
        <v>12</v>
      </c>
      <c r="B14">
        <v>424</v>
      </c>
      <c r="C14">
        <v>88.43</v>
      </c>
      <c r="D14">
        <v>27.038</v>
      </c>
      <c r="E14" t="s">
        <v>138</v>
      </c>
      <c r="F14">
        <v>3</v>
      </c>
      <c r="G14" t="s">
        <v>139</v>
      </c>
      <c r="H14" t="s">
        <v>72</v>
      </c>
      <c r="I14" t="s">
        <v>72</v>
      </c>
      <c r="J14" t="s">
        <v>72</v>
      </c>
      <c r="K14">
        <v>60</v>
      </c>
      <c r="L14">
        <v>20</v>
      </c>
      <c r="M14">
        <v>60</v>
      </c>
      <c r="N14">
        <v>0</v>
      </c>
      <c r="O14" t="s">
        <v>72</v>
      </c>
      <c r="P14" t="s">
        <v>140</v>
      </c>
      <c r="Q14">
        <v>0</v>
      </c>
      <c r="R14" t="s">
        <v>72</v>
      </c>
      <c r="S14" t="s">
        <v>73</v>
      </c>
      <c r="T14" t="s">
        <v>74</v>
      </c>
      <c r="U14" t="s">
        <v>90</v>
      </c>
      <c r="V14" t="s">
        <v>72</v>
      </c>
      <c r="W14" t="s">
        <v>76</v>
      </c>
      <c r="X14" t="s">
        <v>77</v>
      </c>
      <c r="Y14">
        <v>0</v>
      </c>
      <c r="Z14" t="s">
        <v>72</v>
      </c>
      <c r="AA14" t="s">
        <v>72</v>
      </c>
      <c r="AB14" t="s">
        <v>72</v>
      </c>
      <c r="AC14" t="s">
        <v>72</v>
      </c>
      <c r="AD14" t="s">
        <v>141</v>
      </c>
      <c r="AE14">
        <v>0</v>
      </c>
      <c r="AF14" t="s">
        <v>79</v>
      </c>
      <c r="AG14" t="s">
        <v>133</v>
      </c>
      <c r="AH14" t="s">
        <v>72</v>
      </c>
      <c r="AI14" t="s">
        <v>96</v>
      </c>
      <c r="AJ14" t="s">
        <v>97</v>
      </c>
      <c r="AK14">
        <v>0</v>
      </c>
      <c r="AL14">
        <v>0</v>
      </c>
      <c r="AM14">
        <v>0</v>
      </c>
      <c r="AN14" t="s">
        <v>72</v>
      </c>
      <c r="AO14" t="s">
        <v>72</v>
      </c>
      <c r="AP14" t="s">
        <v>72</v>
      </c>
      <c r="AQ14" t="s">
        <v>72</v>
      </c>
      <c r="AR14" t="s">
        <v>72</v>
      </c>
      <c r="AS14" t="s">
        <v>72</v>
      </c>
      <c r="AT14" t="s">
        <v>72</v>
      </c>
      <c r="AU14" t="s">
        <v>72</v>
      </c>
      <c r="AV14" t="s">
        <v>142</v>
      </c>
      <c r="AW14" t="s">
        <v>72</v>
      </c>
      <c r="AX14" t="s">
        <v>72</v>
      </c>
      <c r="AY14">
        <v>33.473098800000002</v>
      </c>
      <c r="AZ14">
        <v>224</v>
      </c>
      <c r="BA14">
        <v>0</v>
      </c>
      <c r="BB14">
        <v>550.97698969999999</v>
      </c>
      <c r="BC14">
        <v>-0.16292200000000001</v>
      </c>
      <c r="BD14">
        <v>0.21234</v>
      </c>
      <c r="BE14">
        <v>298.1719971</v>
      </c>
      <c r="BF14">
        <v>5.5037197999999998</v>
      </c>
      <c r="BG14">
        <v>0.5</v>
      </c>
      <c r="BH14">
        <v>1.9065300000000001</v>
      </c>
      <c r="BI14">
        <v>0.78329199999999999</v>
      </c>
      <c r="BJ14">
        <v>112.5</v>
      </c>
      <c r="BK14">
        <v>7</v>
      </c>
      <c r="BL14">
        <v>37.372100799999998</v>
      </c>
      <c r="BM14">
        <v>112.5</v>
      </c>
      <c r="BN14">
        <v>5109.6098633000001</v>
      </c>
      <c r="BO14">
        <v>273.46798710000002</v>
      </c>
      <c r="BP14">
        <v>215</v>
      </c>
      <c r="BQ14">
        <v>6</v>
      </c>
      <c r="BR14">
        <v>3</v>
      </c>
    </row>
    <row r="15" spans="1:70" x14ac:dyDescent="0.25">
      <c r="A15">
        <v>13</v>
      </c>
      <c r="B15">
        <v>409</v>
      </c>
      <c r="C15">
        <v>88.43</v>
      </c>
      <c r="D15">
        <v>27.038</v>
      </c>
      <c r="E15" t="s">
        <v>143</v>
      </c>
      <c r="F15">
        <v>3</v>
      </c>
      <c r="G15" t="s">
        <v>139</v>
      </c>
      <c r="H15" t="s">
        <v>72</v>
      </c>
      <c r="I15" t="s">
        <v>72</v>
      </c>
      <c r="J15" t="s">
        <v>72</v>
      </c>
      <c r="K15">
        <v>60</v>
      </c>
      <c r="L15">
        <v>20</v>
      </c>
      <c r="M15">
        <v>60</v>
      </c>
      <c r="N15">
        <v>0</v>
      </c>
      <c r="O15" t="s">
        <v>72</v>
      </c>
      <c r="P15" t="s">
        <v>140</v>
      </c>
      <c r="Q15">
        <v>0</v>
      </c>
      <c r="R15" t="s">
        <v>72</v>
      </c>
      <c r="S15" t="s">
        <v>73</v>
      </c>
      <c r="T15" t="s">
        <v>74</v>
      </c>
      <c r="U15" t="s">
        <v>90</v>
      </c>
      <c r="V15" t="s">
        <v>72</v>
      </c>
      <c r="W15" t="s">
        <v>76</v>
      </c>
      <c r="X15" t="s">
        <v>77</v>
      </c>
      <c r="Y15">
        <v>0</v>
      </c>
      <c r="Z15" t="s">
        <v>72</v>
      </c>
      <c r="AA15" t="s">
        <v>72</v>
      </c>
      <c r="AB15" t="s">
        <v>72</v>
      </c>
      <c r="AC15" t="s">
        <v>72</v>
      </c>
      <c r="AD15" t="s">
        <v>141</v>
      </c>
      <c r="AE15">
        <v>0</v>
      </c>
      <c r="AF15" t="s">
        <v>79</v>
      </c>
      <c r="AG15" t="s">
        <v>133</v>
      </c>
      <c r="AH15" t="s">
        <v>72</v>
      </c>
      <c r="AI15" t="s">
        <v>96</v>
      </c>
      <c r="AJ15" t="s">
        <v>97</v>
      </c>
      <c r="AK15">
        <v>0</v>
      </c>
      <c r="AL15">
        <v>0</v>
      </c>
      <c r="AM15">
        <v>0</v>
      </c>
      <c r="AN15" t="s">
        <v>72</v>
      </c>
      <c r="AO15" t="s">
        <v>72</v>
      </c>
      <c r="AP15" t="s">
        <v>72</v>
      </c>
      <c r="AQ15" t="s">
        <v>72</v>
      </c>
      <c r="AR15" t="s">
        <v>72</v>
      </c>
      <c r="AS15" t="s">
        <v>72</v>
      </c>
      <c r="AT15" t="s">
        <v>72</v>
      </c>
      <c r="AU15" t="s">
        <v>72</v>
      </c>
      <c r="AV15" t="s">
        <v>142</v>
      </c>
      <c r="AW15" t="s">
        <v>72</v>
      </c>
      <c r="AX15" t="s">
        <v>72</v>
      </c>
      <c r="AY15">
        <v>33.473098800000002</v>
      </c>
      <c r="AZ15">
        <v>224</v>
      </c>
      <c r="BA15">
        <v>0</v>
      </c>
      <c r="BB15">
        <v>550.97698969999999</v>
      </c>
      <c r="BC15">
        <v>-0.16292200000000001</v>
      </c>
      <c r="BD15">
        <v>0.21234</v>
      </c>
      <c r="BE15">
        <v>298.1719971</v>
      </c>
      <c r="BF15">
        <v>5.5037197999999998</v>
      </c>
      <c r="BG15">
        <v>0.5</v>
      </c>
      <c r="BH15">
        <v>1.9065300000000001</v>
      </c>
      <c r="BI15">
        <v>0.78329199999999999</v>
      </c>
      <c r="BJ15">
        <v>112.5</v>
      </c>
      <c r="BK15">
        <v>7</v>
      </c>
      <c r="BL15">
        <v>37.372100799999998</v>
      </c>
      <c r="BM15">
        <v>112.5</v>
      </c>
      <c r="BN15">
        <v>5109.6098633000001</v>
      </c>
      <c r="BO15">
        <v>273.46798710000002</v>
      </c>
      <c r="BP15">
        <v>215</v>
      </c>
      <c r="BQ15">
        <v>6</v>
      </c>
      <c r="BR15">
        <v>3</v>
      </c>
    </row>
    <row r="16" spans="1:70" x14ac:dyDescent="0.25">
      <c r="A16">
        <v>14</v>
      </c>
      <c r="B16">
        <v>10254</v>
      </c>
      <c r="C16">
        <v>88.426721999999899</v>
      </c>
      <c r="D16">
        <v>27.038833</v>
      </c>
      <c r="E16" t="s">
        <v>144</v>
      </c>
      <c r="F16">
        <v>1</v>
      </c>
      <c r="G16" t="s">
        <v>102</v>
      </c>
      <c r="H16" t="s">
        <v>72</v>
      </c>
      <c r="I16" t="s">
        <v>72</v>
      </c>
      <c r="J16" t="s">
        <v>88</v>
      </c>
      <c r="K16">
        <v>50</v>
      </c>
      <c r="L16">
        <v>20</v>
      </c>
      <c r="M16">
        <v>30</v>
      </c>
      <c r="N16">
        <v>1000</v>
      </c>
      <c r="O16" t="s">
        <v>89</v>
      </c>
      <c r="P16" t="s">
        <v>72</v>
      </c>
      <c r="Q16">
        <v>1000</v>
      </c>
      <c r="R16" t="s">
        <v>72</v>
      </c>
      <c r="S16" t="s">
        <v>73</v>
      </c>
      <c r="T16" t="s">
        <v>74</v>
      </c>
      <c r="U16" t="s">
        <v>90</v>
      </c>
      <c r="V16" t="s">
        <v>109</v>
      </c>
      <c r="W16" t="s">
        <v>76</v>
      </c>
      <c r="X16" t="s">
        <v>145</v>
      </c>
      <c r="Y16">
        <v>2014</v>
      </c>
      <c r="Z16" t="s">
        <v>72</v>
      </c>
      <c r="AA16" t="s">
        <v>72</v>
      </c>
      <c r="AB16" t="s">
        <v>72</v>
      </c>
      <c r="AC16" t="s">
        <v>72</v>
      </c>
      <c r="AD16" t="s">
        <v>109</v>
      </c>
      <c r="AE16">
        <v>5</v>
      </c>
      <c r="AF16" t="s">
        <v>79</v>
      </c>
      <c r="AG16" t="s">
        <v>94</v>
      </c>
      <c r="AH16" t="s">
        <v>95</v>
      </c>
      <c r="AI16" t="s">
        <v>96</v>
      </c>
      <c r="AJ16" t="s">
        <v>97</v>
      </c>
      <c r="AK16">
        <v>2015</v>
      </c>
      <c r="AL16">
        <v>0</v>
      </c>
      <c r="AM16">
        <v>0</v>
      </c>
      <c r="AN16" t="s">
        <v>134</v>
      </c>
      <c r="AO16" t="s">
        <v>82</v>
      </c>
      <c r="AP16" t="s">
        <v>99</v>
      </c>
      <c r="AQ16" t="s">
        <v>72</v>
      </c>
      <c r="AR16" t="s">
        <v>72</v>
      </c>
      <c r="AS16" t="s">
        <v>72</v>
      </c>
      <c r="AT16" t="s">
        <v>72</v>
      </c>
      <c r="AU16" t="s">
        <v>72</v>
      </c>
      <c r="AV16" t="s">
        <v>72</v>
      </c>
      <c r="AW16" t="s">
        <v>72</v>
      </c>
      <c r="AX16" t="s">
        <v>110</v>
      </c>
      <c r="AY16">
        <v>49.847400700000001</v>
      </c>
      <c r="AZ16">
        <v>70</v>
      </c>
      <c r="BA16">
        <v>0.64</v>
      </c>
      <c r="BB16">
        <v>541.96197510000002</v>
      </c>
      <c r="BC16">
        <v>-9.0988100000000002E-2</v>
      </c>
      <c r="BD16">
        <v>0.124776</v>
      </c>
      <c r="BE16">
        <v>12.5</v>
      </c>
      <c r="BF16">
        <v>2.3205399999999998</v>
      </c>
      <c r="BG16">
        <v>0.5</v>
      </c>
      <c r="BH16">
        <v>-6.7017498</v>
      </c>
      <c r="BI16">
        <v>0.88491600000000004</v>
      </c>
      <c r="BJ16">
        <v>212.5</v>
      </c>
      <c r="BK16">
        <v>4</v>
      </c>
      <c r="BL16">
        <v>37.967700999999998</v>
      </c>
      <c r="BM16">
        <v>200</v>
      </c>
      <c r="BN16">
        <v>5409.6298827999999</v>
      </c>
      <c r="BO16">
        <v>64.515899700000006</v>
      </c>
      <c r="BP16">
        <v>198</v>
      </c>
      <c r="BQ16">
        <v>6</v>
      </c>
      <c r="BR16">
        <v>7</v>
      </c>
    </row>
    <row r="17" spans="1:70" x14ac:dyDescent="0.25">
      <c r="A17">
        <v>15</v>
      </c>
      <c r="B17">
        <v>410</v>
      </c>
      <c r="C17">
        <v>88.427000000000007</v>
      </c>
      <c r="D17">
        <v>27.039000000000001</v>
      </c>
      <c r="E17" t="s">
        <v>146</v>
      </c>
      <c r="F17">
        <v>50</v>
      </c>
      <c r="G17" t="s">
        <v>72</v>
      </c>
      <c r="H17" t="s">
        <v>72</v>
      </c>
      <c r="I17" t="s">
        <v>72</v>
      </c>
      <c r="J17" t="s">
        <v>72</v>
      </c>
      <c r="K17">
        <v>10</v>
      </c>
      <c r="L17">
        <v>10</v>
      </c>
      <c r="M17">
        <v>10</v>
      </c>
      <c r="N17">
        <v>0</v>
      </c>
      <c r="O17" t="s">
        <v>72</v>
      </c>
      <c r="P17" t="s">
        <v>147</v>
      </c>
      <c r="Q17">
        <v>0</v>
      </c>
      <c r="R17" t="s">
        <v>72</v>
      </c>
      <c r="S17" t="s">
        <v>73</v>
      </c>
      <c r="T17" t="s">
        <v>74</v>
      </c>
      <c r="U17" t="s">
        <v>90</v>
      </c>
      <c r="V17" t="s">
        <v>72</v>
      </c>
      <c r="W17" t="s">
        <v>72</v>
      </c>
      <c r="X17" t="s">
        <v>77</v>
      </c>
      <c r="Y17">
        <v>0</v>
      </c>
      <c r="Z17" t="s">
        <v>72</v>
      </c>
      <c r="AA17" t="s">
        <v>72</v>
      </c>
      <c r="AB17" t="s">
        <v>72</v>
      </c>
      <c r="AC17" t="s">
        <v>72</v>
      </c>
      <c r="AD17" t="s">
        <v>72</v>
      </c>
      <c r="AE17">
        <v>0</v>
      </c>
      <c r="AF17" t="s">
        <v>148</v>
      </c>
      <c r="AG17" t="s">
        <v>94</v>
      </c>
      <c r="AH17" t="s">
        <v>149</v>
      </c>
      <c r="AI17" t="s">
        <v>150</v>
      </c>
      <c r="AJ17" t="s">
        <v>97</v>
      </c>
      <c r="AK17">
        <v>0</v>
      </c>
      <c r="AL17">
        <v>0</v>
      </c>
      <c r="AM17">
        <v>0</v>
      </c>
      <c r="AN17" t="s">
        <v>72</v>
      </c>
      <c r="AO17" t="s">
        <v>151</v>
      </c>
      <c r="AP17" t="s">
        <v>72</v>
      </c>
      <c r="AQ17" t="s">
        <v>72</v>
      </c>
      <c r="AR17" t="s">
        <v>72</v>
      </c>
      <c r="AS17" t="s">
        <v>72</v>
      </c>
      <c r="AT17" t="s">
        <v>72</v>
      </c>
      <c r="AU17" t="s">
        <v>72</v>
      </c>
      <c r="AV17" t="s">
        <v>72</v>
      </c>
      <c r="AW17" t="s">
        <v>72</v>
      </c>
      <c r="AX17" t="s">
        <v>152</v>
      </c>
      <c r="AY17">
        <v>17.6305008</v>
      </c>
      <c r="AZ17">
        <v>142</v>
      </c>
      <c r="BA17">
        <v>-0.64</v>
      </c>
      <c r="BB17">
        <v>541.96197510000002</v>
      </c>
      <c r="BC17">
        <v>-2.31676E-2</v>
      </c>
      <c r="BD17">
        <v>6.7547999999999997E-2</v>
      </c>
      <c r="BE17">
        <v>25</v>
      </c>
      <c r="BF17">
        <v>6.6677799000000002</v>
      </c>
      <c r="BG17">
        <v>0.37036999999999998</v>
      </c>
      <c r="BH17">
        <v>1.80132</v>
      </c>
      <c r="BI17">
        <v>0.88182300000000002</v>
      </c>
      <c r="BJ17">
        <v>175</v>
      </c>
      <c r="BK17">
        <v>4</v>
      </c>
      <c r="BL17">
        <v>37.967700999999998</v>
      </c>
      <c r="BM17">
        <v>158.11399840000001</v>
      </c>
      <c r="BN17">
        <v>5400.5400391000003</v>
      </c>
      <c r="BO17">
        <v>77.2755966</v>
      </c>
      <c r="BP17">
        <v>167</v>
      </c>
      <c r="BQ17">
        <v>6</v>
      </c>
      <c r="BR17">
        <v>6</v>
      </c>
    </row>
    <row r="18" spans="1:70" x14ac:dyDescent="0.25">
      <c r="A18">
        <v>16</v>
      </c>
      <c r="B18">
        <v>10628</v>
      </c>
      <c r="C18">
        <v>88.425920000000005</v>
      </c>
      <c r="D18">
        <v>27.039788000000001</v>
      </c>
      <c r="E18" t="s">
        <v>153</v>
      </c>
      <c r="F18">
        <v>5</v>
      </c>
      <c r="G18" t="s">
        <v>87</v>
      </c>
      <c r="H18" t="s">
        <v>72</v>
      </c>
      <c r="I18" t="s">
        <v>72</v>
      </c>
      <c r="J18" t="s">
        <v>88</v>
      </c>
      <c r="K18">
        <v>500</v>
      </c>
      <c r="L18">
        <v>250</v>
      </c>
      <c r="M18">
        <v>400</v>
      </c>
      <c r="N18">
        <v>125000</v>
      </c>
      <c r="O18" t="s">
        <v>89</v>
      </c>
      <c r="P18" t="s">
        <v>72</v>
      </c>
      <c r="Q18">
        <v>625000</v>
      </c>
      <c r="R18" t="s">
        <v>72</v>
      </c>
      <c r="S18" t="s">
        <v>73</v>
      </c>
      <c r="T18" t="s">
        <v>74</v>
      </c>
      <c r="U18" t="s">
        <v>90</v>
      </c>
      <c r="V18" t="s">
        <v>154</v>
      </c>
      <c r="W18" t="s">
        <v>92</v>
      </c>
      <c r="X18" t="s">
        <v>77</v>
      </c>
      <c r="Y18">
        <v>2013</v>
      </c>
      <c r="Z18" t="s">
        <v>72</v>
      </c>
      <c r="AA18" t="s">
        <v>72</v>
      </c>
      <c r="AB18" t="s">
        <v>72</v>
      </c>
      <c r="AC18" t="s">
        <v>72</v>
      </c>
      <c r="AD18" t="s">
        <v>72</v>
      </c>
      <c r="AE18">
        <v>0</v>
      </c>
      <c r="AF18" t="s">
        <v>148</v>
      </c>
      <c r="AG18" t="s">
        <v>94</v>
      </c>
      <c r="AH18" t="s">
        <v>95</v>
      </c>
      <c r="AI18" t="s">
        <v>150</v>
      </c>
      <c r="AJ18" t="s">
        <v>97</v>
      </c>
      <c r="AK18">
        <v>0</v>
      </c>
      <c r="AL18">
        <v>0</v>
      </c>
      <c r="AM18">
        <v>0</v>
      </c>
      <c r="AN18" t="s">
        <v>98</v>
      </c>
      <c r="AO18" t="s">
        <v>82</v>
      </c>
      <c r="AP18" t="s">
        <v>99</v>
      </c>
      <c r="AQ18" t="s">
        <v>72</v>
      </c>
      <c r="AR18" t="s">
        <v>72</v>
      </c>
      <c r="AS18" t="s">
        <v>72</v>
      </c>
      <c r="AT18" t="s">
        <v>72</v>
      </c>
      <c r="AU18" t="s">
        <v>72</v>
      </c>
      <c r="AV18" t="s">
        <v>72</v>
      </c>
      <c r="AW18" t="s">
        <v>72</v>
      </c>
      <c r="AX18" t="s">
        <v>100</v>
      </c>
      <c r="AY18">
        <v>59.008098599999997</v>
      </c>
      <c r="AZ18">
        <v>0</v>
      </c>
      <c r="BA18">
        <v>0.64</v>
      </c>
      <c r="BB18">
        <v>539.7930298</v>
      </c>
      <c r="BC18">
        <v>-0.121527</v>
      </c>
      <c r="BD18">
        <v>0.14388300000000001</v>
      </c>
      <c r="BE18">
        <v>87.5</v>
      </c>
      <c r="BF18">
        <v>4.0954598999999998</v>
      </c>
      <c r="BG18">
        <v>0.46230199999999999</v>
      </c>
      <c r="BH18">
        <v>2.4563701</v>
      </c>
      <c r="BI18">
        <v>0.89626399999999995</v>
      </c>
      <c r="BJ18">
        <v>287.5</v>
      </c>
      <c r="BK18">
        <v>4</v>
      </c>
      <c r="BL18">
        <v>40.594600700000001</v>
      </c>
      <c r="BM18">
        <v>252.7969971</v>
      </c>
      <c r="BN18">
        <v>5542.0097655999998</v>
      </c>
      <c r="BO18">
        <v>118.7200012</v>
      </c>
      <c r="BP18">
        <v>316</v>
      </c>
      <c r="BQ18">
        <v>6</v>
      </c>
      <c r="BR18">
        <v>7</v>
      </c>
    </row>
    <row r="19" spans="1:70" x14ac:dyDescent="0.25">
      <c r="A19">
        <v>17</v>
      </c>
      <c r="B19">
        <v>10255</v>
      </c>
      <c r="C19">
        <v>88.427278000000001</v>
      </c>
      <c r="D19">
        <v>27.040361000000001</v>
      </c>
      <c r="E19" t="s">
        <v>155</v>
      </c>
      <c r="F19">
        <v>1</v>
      </c>
      <c r="G19" t="s">
        <v>102</v>
      </c>
      <c r="H19" t="s">
        <v>72</v>
      </c>
      <c r="I19" t="s">
        <v>72</v>
      </c>
      <c r="J19" t="s">
        <v>88</v>
      </c>
      <c r="K19">
        <v>15</v>
      </c>
      <c r="L19">
        <v>5</v>
      </c>
      <c r="M19">
        <v>10</v>
      </c>
      <c r="N19">
        <v>75</v>
      </c>
      <c r="O19" t="s">
        <v>89</v>
      </c>
      <c r="P19" t="s">
        <v>72</v>
      </c>
      <c r="Q19">
        <v>75</v>
      </c>
      <c r="R19" t="s">
        <v>72</v>
      </c>
      <c r="S19" t="s">
        <v>73</v>
      </c>
      <c r="T19" t="s">
        <v>74</v>
      </c>
      <c r="U19" t="s">
        <v>90</v>
      </c>
      <c r="V19" t="s">
        <v>109</v>
      </c>
      <c r="W19" t="s">
        <v>76</v>
      </c>
      <c r="X19" t="s">
        <v>77</v>
      </c>
      <c r="Y19">
        <v>2014</v>
      </c>
      <c r="Z19" t="s">
        <v>72</v>
      </c>
      <c r="AA19" t="s">
        <v>72</v>
      </c>
      <c r="AB19" t="s">
        <v>72</v>
      </c>
      <c r="AC19" t="s">
        <v>72</v>
      </c>
      <c r="AD19" t="s">
        <v>109</v>
      </c>
      <c r="AE19">
        <v>0</v>
      </c>
      <c r="AF19" t="s">
        <v>79</v>
      </c>
      <c r="AG19" t="s">
        <v>94</v>
      </c>
      <c r="AH19" t="s">
        <v>95</v>
      </c>
      <c r="AI19" t="s">
        <v>96</v>
      </c>
      <c r="AJ19" t="s">
        <v>97</v>
      </c>
      <c r="AK19">
        <v>0</v>
      </c>
      <c r="AL19">
        <v>0</v>
      </c>
      <c r="AM19">
        <v>0</v>
      </c>
      <c r="AN19" t="s">
        <v>134</v>
      </c>
      <c r="AO19" t="s">
        <v>82</v>
      </c>
      <c r="AP19" t="s">
        <v>99</v>
      </c>
      <c r="AQ19" t="s">
        <v>72</v>
      </c>
      <c r="AR19" t="s">
        <v>72</v>
      </c>
      <c r="AS19" t="s">
        <v>72</v>
      </c>
      <c r="AT19" t="s">
        <v>72</v>
      </c>
      <c r="AU19" t="s">
        <v>72</v>
      </c>
      <c r="AV19" t="s">
        <v>72</v>
      </c>
      <c r="AW19" t="s">
        <v>72</v>
      </c>
      <c r="AX19" t="s">
        <v>110</v>
      </c>
      <c r="AY19">
        <v>58.253898599999999</v>
      </c>
      <c r="AZ19">
        <v>0</v>
      </c>
      <c r="BA19">
        <v>-4.4800000000000004</v>
      </c>
      <c r="BB19">
        <v>539.7930298</v>
      </c>
      <c r="BC19">
        <v>-0.100894</v>
      </c>
      <c r="BD19">
        <v>0.124446</v>
      </c>
      <c r="BE19">
        <v>0</v>
      </c>
      <c r="BF19">
        <v>5.5719900000000004</v>
      </c>
      <c r="BG19">
        <v>0.45702300000000001</v>
      </c>
      <c r="BH19">
        <v>3.9772501</v>
      </c>
      <c r="BI19">
        <v>0.88169399999999998</v>
      </c>
      <c r="BJ19">
        <v>150</v>
      </c>
      <c r="BK19">
        <v>7</v>
      </c>
      <c r="BL19">
        <v>40.395301799999999</v>
      </c>
      <c r="BM19">
        <v>111.8030014</v>
      </c>
      <c r="BN19">
        <v>5489.4902344000002</v>
      </c>
      <c r="BO19">
        <v>119.2610016</v>
      </c>
      <c r="BP19">
        <v>180</v>
      </c>
      <c r="BQ19">
        <v>6</v>
      </c>
      <c r="BR19">
        <v>7</v>
      </c>
    </row>
    <row r="20" spans="1:70" x14ac:dyDescent="0.25">
      <c r="A20">
        <v>18</v>
      </c>
      <c r="B20">
        <v>11672</v>
      </c>
      <c r="C20">
        <v>88.427008000000001</v>
      </c>
      <c r="D20">
        <v>27.041515</v>
      </c>
      <c r="E20" t="s">
        <v>156</v>
      </c>
      <c r="F20">
        <v>5</v>
      </c>
      <c r="G20" t="s">
        <v>157</v>
      </c>
      <c r="H20" t="s">
        <v>72</v>
      </c>
      <c r="I20" t="s">
        <v>72</v>
      </c>
      <c r="J20" t="s">
        <v>88</v>
      </c>
      <c r="K20">
        <v>150</v>
      </c>
      <c r="L20">
        <v>50</v>
      </c>
      <c r="M20">
        <v>110</v>
      </c>
      <c r="N20">
        <v>7500</v>
      </c>
      <c r="O20" t="s">
        <v>89</v>
      </c>
      <c r="P20" t="s">
        <v>72</v>
      </c>
      <c r="Q20">
        <v>37500</v>
      </c>
      <c r="R20" t="s">
        <v>72</v>
      </c>
      <c r="S20" t="s">
        <v>73</v>
      </c>
      <c r="T20" t="s">
        <v>74</v>
      </c>
      <c r="U20" t="s">
        <v>90</v>
      </c>
      <c r="V20" t="s">
        <v>158</v>
      </c>
      <c r="W20" t="s">
        <v>159</v>
      </c>
      <c r="X20" t="s">
        <v>77</v>
      </c>
      <c r="Y20">
        <v>2007</v>
      </c>
      <c r="Z20" t="s">
        <v>72</v>
      </c>
      <c r="AA20" t="s">
        <v>72</v>
      </c>
      <c r="AB20" t="s">
        <v>72</v>
      </c>
      <c r="AC20" t="s">
        <v>72</v>
      </c>
      <c r="AD20" t="s">
        <v>160</v>
      </c>
      <c r="AE20">
        <v>0</v>
      </c>
      <c r="AF20" t="s">
        <v>148</v>
      </c>
      <c r="AG20" t="s">
        <v>94</v>
      </c>
      <c r="AH20" t="s">
        <v>95</v>
      </c>
      <c r="AI20" t="s">
        <v>96</v>
      </c>
      <c r="AJ20" t="s">
        <v>97</v>
      </c>
      <c r="AK20">
        <v>0</v>
      </c>
      <c r="AL20">
        <v>0</v>
      </c>
      <c r="AM20">
        <v>0</v>
      </c>
      <c r="AN20" t="s">
        <v>134</v>
      </c>
      <c r="AO20" t="s">
        <v>82</v>
      </c>
      <c r="AP20" t="s">
        <v>99</v>
      </c>
      <c r="AQ20" t="s">
        <v>72</v>
      </c>
      <c r="AR20" t="s">
        <v>72</v>
      </c>
      <c r="AS20" t="s">
        <v>72</v>
      </c>
      <c r="AT20" t="s">
        <v>72</v>
      </c>
      <c r="AU20" t="s">
        <v>72</v>
      </c>
      <c r="AV20" t="s">
        <v>72</v>
      </c>
      <c r="AW20" t="s">
        <v>72</v>
      </c>
      <c r="AX20" t="s">
        <v>103</v>
      </c>
      <c r="AY20">
        <v>50.939498899999997</v>
      </c>
      <c r="AZ20">
        <v>0</v>
      </c>
      <c r="BA20">
        <v>1.92</v>
      </c>
      <c r="BB20">
        <v>537.37298580000004</v>
      </c>
      <c r="BC20">
        <v>-0.12436800000000001</v>
      </c>
      <c r="BD20">
        <v>0.15335799999999999</v>
      </c>
      <c r="BE20">
        <v>79.056899999999999</v>
      </c>
      <c r="BF20">
        <v>2.2407998999999998</v>
      </c>
      <c r="BG20">
        <v>0.51951999999999998</v>
      </c>
      <c r="BH20">
        <v>-6.6220797999999998</v>
      </c>
      <c r="BI20">
        <v>0.90473700000000001</v>
      </c>
      <c r="BJ20">
        <v>187.5</v>
      </c>
      <c r="BK20">
        <v>4</v>
      </c>
      <c r="BL20">
        <v>42.790298499999999</v>
      </c>
      <c r="BM20">
        <v>125</v>
      </c>
      <c r="BN20">
        <v>5605.6098633000001</v>
      </c>
      <c r="BO20">
        <v>103.1340027</v>
      </c>
      <c r="BP20">
        <v>272</v>
      </c>
      <c r="BQ20">
        <v>6</v>
      </c>
      <c r="BR20">
        <v>7</v>
      </c>
    </row>
    <row r="21" spans="1:70" x14ac:dyDescent="0.25">
      <c r="A21">
        <v>19</v>
      </c>
      <c r="B21">
        <v>10397</v>
      </c>
      <c r="C21">
        <v>88.427009999999896</v>
      </c>
      <c r="D21">
        <v>27.041532</v>
      </c>
      <c r="E21" t="s">
        <v>161</v>
      </c>
      <c r="F21">
        <v>2</v>
      </c>
      <c r="G21" t="s">
        <v>162</v>
      </c>
      <c r="H21" t="s">
        <v>72</v>
      </c>
      <c r="I21" t="s">
        <v>72</v>
      </c>
      <c r="J21" t="s">
        <v>88</v>
      </c>
      <c r="K21">
        <v>10</v>
      </c>
      <c r="L21">
        <v>15</v>
      </c>
      <c r="M21">
        <v>7</v>
      </c>
      <c r="N21">
        <v>150</v>
      </c>
      <c r="O21" t="s">
        <v>89</v>
      </c>
      <c r="P21" t="s">
        <v>72</v>
      </c>
      <c r="Q21">
        <v>300</v>
      </c>
      <c r="R21" t="s">
        <v>72</v>
      </c>
      <c r="S21" t="s">
        <v>73</v>
      </c>
      <c r="T21" t="s">
        <v>74</v>
      </c>
      <c r="U21" t="s">
        <v>90</v>
      </c>
      <c r="V21" t="s">
        <v>163</v>
      </c>
      <c r="W21" t="s">
        <v>76</v>
      </c>
      <c r="X21" t="s">
        <v>77</v>
      </c>
      <c r="Y21">
        <v>2010</v>
      </c>
      <c r="Z21" t="s">
        <v>72</v>
      </c>
      <c r="AA21" t="s">
        <v>72</v>
      </c>
      <c r="AB21" t="s">
        <v>72</v>
      </c>
      <c r="AC21" t="s">
        <v>72</v>
      </c>
      <c r="AD21" t="s">
        <v>164</v>
      </c>
      <c r="AE21">
        <v>0</v>
      </c>
      <c r="AF21" t="s">
        <v>79</v>
      </c>
      <c r="AG21" t="s">
        <v>94</v>
      </c>
      <c r="AH21" t="s">
        <v>95</v>
      </c>
      <c r="AI21" t="s">
        <v>80</v>
      </c>
      <c r="AJ21" t="s">
        <v>113</v>
      </c>
      <c r="AK21">
        <v>0</v>
      </c>
      <c r="AL21">
        <v>0</v>
      </c>
      <c r="AM21">
        <v>0</v>
      </c>
      <c r="AN21" t="s">
        <v>72</v>
      </c>
      <c r="AO21" t="s">
        <v>82</v>
      </c>
      <c r="AP21" t="s">
        <v>72</v>
      </c>
      <c r="AQ21" t="s">
        <v>72</v>
      </c>
      <c r="AR21" t="s">
        <v>72</v>
      </c>
      <c r="AS21" t="s">
        <v>72</v>
      </c>
      <c r="AT21" t="s">
        <v>72</v>
      </c>
      <c r="AU21" t="s">
        <v>72</v>
      </c>
      <c r="AV21" t="s">
        <v>72</v>
      </c>
      <c r="AW21" t="s">
        <v>72</v>
      </c>
      <c r="AX21" t="s">
        <v>103</v>
      </c>
      <c r="AY21">
        <v>50.939498899999997</v>
      </c>
      <c r="AZ21">
        <v>0</v>
      </c>
      <c r="BA21">
        <v>1.92</v>
      </c>
      <c r="BB21">
        <v>537.37298580000004</v>
      </c>
      <c r="BC21">
        <v>-0.12436800000000001</v>
      </c>
      <c r="BD21">
        <v>0.15335799999999999</v>
      </c>
      <c r="BE21">
        <v>79.056899999999999</v>
      </c>
      <c r="BF21">
        <v>2.2407998999999998</v>
      </c>
      <c r="BG21">
        <v>0.51951999999999998</v>
      </c>
      <c r="BH21">
        <v>-6.6220797999999998</v>
      </c>
      <c r="BI21">
        <v>0.90473700000000001</v>
      </c>
      <c r="BJ21">
        <v>187.5</v>
      </c>
      <c r="BK21">
        <v>4</v>
      </c>
      <c r="BL21">
        <v>42.790298499999999</v>
      </c>
      <c r="BM21">
        <v>125</v>
      </c>
      <c r="BN21">
        <v>5605.6098633000001</v>
      </c>
      <c r="BO21">
        <v>103.1340027</v>
      </c>
      <c r="BP21">
        <v>272</v>
      </c>
      <c r="BQ21">
        <v>6</v>
      </c>
      <c r="BR21">
        <v>7</v>
      </c>
    </row>
    <row r="22" spans="1:70" x14ac:dyDescent="0.25">
      <c r="A22">
        <v>20</v>
      </c>
      <c r="B22">
        <v>10256</v>
      </c>
      <c r="C22">
        <v>88.428194000000005</v>
      </c>
      <c r="D22">
        <v>27.041944000000001</v>
      </c>
      <c r="E22" t="s">
        <v>165</v>
      </c>
      <c r="F22">
        <v>0.5</v>
      </c>
      <c r="G22" t="s">
        <v>102</v>
      </c>
      <c r="H22" t="s">
        <v>72</v>
      </c>
      <c r="I22" t="s">
        <v>72</v>
      </c>
      <c r="J22" t="s">
        <v>88</v>
      </c>
      <c r="K22">
        <v>10</v>
      </c>
      <c r="L22">
        <v>4</v>
      </c>
      <c r="M22">
        <v>0</v>
      </c>
      <c r="N22">
        <v>40</v>
      </c>
      <c r="O22" t="s">
        <v>89</v>
      </c>
      <c r="P22" t="s">
        <v>72</v>
      </c>
      <c r="Q22">
        <v>20</v>
      </c>
      <c r="R22" t="s">
        <v>72</v>
      </c>
      <c r="S22" t="s">
        <v>73</v>
      </c>
      <c r="T22" t="s">
        <v>74</v>
      </c>
      <c r="U22" t="s">
        <v>90</v>
      </c>
      <c r="V22" t="s">
        <v>109</v>
      </c>
      <c r="W22" t="s">
        <v>76</v>
      </c>
      <c r="X22" t="s">
        <v>77</v>
      </c>
      <c r="Y22">
        <v>2015</v>
      </c>
      <c r="Z22" t="s">
        <v>72</v>
      </c>
      <c r="AA22" t="s">
        <v>72</v>
      </c>
      <c r="AB22" t="s">
        <v>72</v>
      </c>
      <c r="AC22" t="s">
        <v>72</v>
      </c>
      <c r="AD22" t="s">
        <v>109</v>
      </c>
      <c r="AE22">
        <v>0</v>
      </c>
      <c r="AF22" t="s">
        <v>79</v>
      </c>
      <c r="AG22" t="s">
        <v>128</v>
      </c>
      <c r="AH22" t="s">
        <v>95</v>
      </c>
      <c r="AI22" t="s">
        <v>96</v>
      </c>
      <c r="AJ22" t="s">
        <v>97</v>
      </c>
      <c r="AK22">
        <v>0</v>
      </c>
      <c r="AL22">
        <v>0</v>
      </c>
      <c r="AM22">
        <v>0</v>
      </c>
      <c r="AN22" t="s">
        <v>98</v>
      </c>
      <c r="AO22" t="s">
        <v>82</v>
      </c>
      <c r="AP22" t="s">
        <v>99</v>
      </c>
      <c r="AQ22" t="s">
        <v>72</v>
      </c>
      <c r="AR22" t="s">
        <v>72</v>
      </c>
      <c r="AS22" t="s">
        <v>72</v>
      </c>
      <c r="AT22" t="s">
        <v>72</v>
      </c>
      <c r="AU22" t="s">
        <v>72</v>
      </c>
      <c r="AV22" t="s">
        <v>72</v>
      </c>
      <c r="AW22" t="s">
        <v>72</v>
      </c>
      <c r="AX22" t="s">
        <v>110</v>
      </c>
      <c r="AY22">
        <v>34.854099300000001</v>
      </c>
      <c r="AZ22">
        <v>57</v>
      </c>
      <c r="BA22">
        <v>-1.28</v>
      </c>
      <c r="BB22">
        <v>549.92297359999998</v>
      </c>
      <c r="BC22">
        <v>-0.13641600000000001</v>
      </c>
      <c r="BD22">
        <v>0.168022</v>
      </c>
      <c r="BE22">
        <v>0</v>
      </c>
      <c r="BF22">
        <v>6.2856497999999998</v>
      </c>
      <c r="BG22">
        <v>0.50264600000000004</v>
      </c>
      <c r="BH22">
        <v>3.01004</v>
      </c>
      <c r="BI22">
        <v>1.00464</v>
      </c>
      <c r="BJ22">
        <v>62.5</v>
      </c>
      <c r="BK22">
        <v>4</v>
      </c>
      <c r="BL22">
        <v>42.959301000000004</v>
      </c>
      <c r="BM22">
        <v>0</v>
      </c>
      <c r="BN22">
        <v>5557.1201172000001</v>
      </c>
      <c r="BO22">
        <v>105.83200069999999</v>
      </c>
      <c r="BP22">
        <v>186</v>
      </c>
      <c r="BQ22">
        <v>6</v>
      </c>
      <c r="BR22">
        <v>7</v>
      </c>
    </row>
    <row r="23" spans="1:70" x14ac:dyDescent="0.25">
      <c r="A23">
        <v>21</v>
      </c>
      <c r="B23">
        <v>411</v>
      </c>
      <c r="C23">
        <v>88.43</v>
      </c>
      <c r="D23">
        <v>27.045000000000002</v>
      </c>
      <c r="E23" t="s">
        <v>166</v>
      </c>
      <c r="F23">
        <v>5</v>
      </c>
      <c r="G23" t="s">
        <v>167</v>
      </c>
      <c r="H23" t="s">
        <v>72</v>
      </c>
      <c r="I23" t="s">
        <v>72</v>
      </c>
      <c r="J23" t="s">
        <v>72</v>
      </c>
      <c r="K23">
        <v>110</v>
      </c>
      <c r="L23">
        <v>50</v>
      </c>
      <c r="M23">
        <v>110</v>
      </c>
      <c r="N23">
        <v>0</v>
      </c>
      <c r="O23" t="s">
        <v>72</v>
      </c>
      <c r="P23" t="s">
        <v>168</v>
      </c>
      <c r="Q23">
        <v>0</v>
      </c>
      <c r="R23" t="s">
        <v>72</v>
      </c>
      <c r="S23" t="s">
        <v>73</v>
      </c>
      <c r="T23" t="s">
        <v>74</v>
      </c>
      <c r="U23" t="s">
        <v>90</v>
      </c>
      <c r="V23" t="s">
        <v>72</v>
      </c>
      <c r="W23" t="s">
        <v>72</v>
      </c>
      <c r="X23" t="s">
        <v>77</v>
      </c>
      <c r="Y23">
        <v>0</v>
      </c>
      <c r="Z23" t="s">
        <v>72</v>
      </c>
      <c r="AA23" t="s">
        <v>72</v>
      </c>
      <c r="AB23" t="s">
        <v>72</v>
      </c>
      <c r="AC23" t="s">
        <v>72</v>
      </c>
      <c r="AD23" t="s">
        <v>169</v>
      </c>
      <c r="AE23">
        <v>0</v>
      </c>
      <c r="AF23" t="s">
        <v>148</v>
      </c>
      <c r="AG23" t="s">
        <v>94</v>
      </c>
      <c r="AH23" t="s">
        <v>72</v>
      </c>
      <c r="AI23" t="s">
        <v>96</v>
      </c>
      <c r="AJ23" t="s">
        <v>170</v>
      </c>
      <c r="AK23">
        <v>0</v>
      </c>
      <c r="AL23">
        <v>0</v>
      </c>
      <c r="AM23">
        <v>0</v>
      </c>
      <c r="AN23" t="s">
        <v>72</v>
      </c>
      <c r="AO23" t="s">
        <v>72</v>
      </c>
      <c r="AP23" t="s">
        <v>72</v>
      </c>
      <c r="AQ23" t="s">
        <v>72</v>
      </c>
      <c r="AR23" t="s">
        <v>72</v>
      </c>
      <c r="AS23" t="s">
        <v>72</v>
      </c>
      <c r="AT23" t="s">
        <v>72</v>
      </c>
      <c r="AU23" t="s">
        <v>72</v>
      </c>
      <c r="AV23" t="s">
        <v>171</v>
      </c>
      <c r="AW23" t="s">
        <v>72</v>
      </c>
      <c r="AX23" t="s">
        <v>172</v>
      </c>
      <c r="AY23">
        <v>27.621200600000002</v>
      </c>
      <c r="AZ23">
        <v>186</v>
      </c>
      <c r="BA23">
        <v>-1.28</v>
      </c>
      <c r="BB23">
        <v>550.05798340000001</v>
      </c>
      <c r="BC23">
        <v>-0.14177899999999999</v>
      </c>
      <c r="BD23">
        <v>0.19312399999999999</v>
      </c>
      <c r="BE23">
        <v>167.70500179999999</v>
      </c>
      <c r="BF23">
        <v>5.80443</v>
      </c>
      <c r="BG23">
        <v>0.56209200000000004</v>
      </c>
      <c r="BH23">
        <v>2.0702400000000001</v>
      </c>
      <c r="BI23">
        <v>1.02881</v>
      </c>
      <c r="BJ23">
        <v>154.6159973</v>
      </c>
      <c r="BK23">
        <v>7</v>
      </c>
      <c r="BL23">
        <v>42.734199500000003</v>
      </c>
      <c r="BM23">
        <v>226.3849945</v>
      </c>
      <c r="BN23">
        <v>5700.3398438000004</v>
      </c>
      <c r="BO23">
        <v>243.9250031</v>
      </c>
      <c r="BP23">
        <v>220</v>
      </c>
      <c r="BQ23">
        <v>6</v>
      </c>
      <c r="BR23">
        <v>3</v>
      </c>
    </row>
    <row r="24" spans="1:70" x14ac:dyDescent="0.25">
      <c r="A24">
        <v>22</v>
      </c>
      <c r="B24">
        <v>10629</v>
      </c>
      <c r="C24">
        <v>88.427239</v>
      </c>
      <c r="D24">
        <v>27.045535000000001</v>
      </c>
      <c r="E24" t="s">
        <v>173</v>
      </c>
      <c r="F24">
        <v>2</v>
      </c>
      <c r="G24" t="s">
        <v>87</v>
      </c>
      <c r="H24" t="s">
        <v>72</v>
      </c>
      <c r="I24" t="s">
        <v>72</v>
      </c>
      <c r="J24" t="s">
        <v>88</v>
      </c>
      <c r="K24">
        <v>25</v>
      </c>
      <c r="L24">
        <v>8</v>
      </c>
      <c r="M24">
        <v>20</v>
      </c>
      <c r="N24">
        <v>200</v>
      </c>
      <c r="O24" t="s">
        <v>89</v>
      </c>
      <c r="P24" t="s">
        <v>72</v>
      </c>
      <c r="Q24">
        <v>400</v>
      </c>
      <c r="R24" t="s">
        <v>72</v>
      </c>
      <c r="S24" t="s">
        <v>73</v>
      </c>
      <c r="T24" t="s">
        <v>74</v>
      </c>
      <c r="U24" t="s">
        <v>90</v>
      </c>
      <c r="V24" t="s">
        <v>174</v>
      </c>
      <c r="W24" t="s">
        <v>92</v>
      </c>
      <c r="X24" t="s">
        <v>77</v>
      </c>
      <c r="Y24">
        <v>2013</v>
      </c>
      <c r="Z24" t="s">
        <v>72</v>
      </c>
      <c r="AA24" t="s">
        <v>72</v>
      </c>
      <c r="AB24" t="s">
        <v>72</v>
      </c>
      <c r="AC24" t="s">
        <v>72</v>
      </c>
      <c r="AD24" t="s">
        <v>72</v>
      </c>
      <c r="AE24">
        <v>0</v>
      </c>
      <c r="AF24" t="s">
        <v>148</v>
      </c>
      <c r="AG24" t="s">
        <v>94</v>
      </c>
      <c r="AH24" t="s">
        <v>95</v>
      </c>
      <c r="AI24" t="s">
        <v>150</v>
      </c>
      <c r="AJ24" t="s">
        <v>97</v>
      </c>
      <c r="AK24">
        <v>0</v>
      </c>
      <c r="AL24">
        <v>0</v>
      </c>
      <c r="AM24">
        <v>0</v>
      </c>
      <c r="AN24" t="s">
        <v>98</v>
      </c>
      <c r="AO24" t="s">
        <v>82</v>
      </c>
      <c r="AP24" t="s">
        <v>99</v>
      </c>
      <c r="AQ24" t="s">
        <v>72</v>
      </c>
      <c r="AR24" t="s">
        <v>72</v>
      </c>
      <c r="AS24" t="s">
        <v>72</v>
      </c>
      <c r="AT24" t="s">
        <v>72</v>
      </c>
      <c r="AU24" t="s">
        <v>72</v>
      </c>
      <c r="AV24" t="s">
        <v>72</v>
      </c>
      <c r="AW24" t="s">
        <v>72</v>
      </c>
      <c r="AX24" t="s">
        <v>100</v>
      </c>
      <c r="AY24">
        <v>41.140899699999999</v>
      </c>
      <c r="AZ24">
        <v>78</v>
      </c>
      <c r="BA24">
        <v>1.28</v>
      </c>
      <c r="BB24">
        <v>505.76199339999999</v>
      </c>
      <c r="BC24">
        <v>-0.12883600000000001</v>
      </c>
      <c r="BD24">
        <v>0.17267199999999999</v>
      </c>
      <c r="BE24">
        <v>51.538799300000001</v>
      </c>
      <c r="BF24">
        <v>3.3539900999999999</v>
      </c>
      <c r="BG24">
        <v>0.56790099999999999</v>
      </c>
      <c r="BH24">
        <v>-0.13297400000000001</v>
      </c>
      <c r="BI24">
        <v>1.1264498999999999</v>
      </c>
      <c r="BJ24">
        <v>79.056899999999999</v>
      </c>
      <c r="BK24">
        <v>4</v>
      </c>
      <c r="BL24">
        <v>43.167198200000001</v>
      </c>
      <c r="BM24">
        <v>25</v>
      </c>
      <c r="BN24">
        <v>5923.6000977000003</v>
      </c>
      <c r="BO24">
        <v>74.054603599999993</v>
      </c>
      <c r="BP24">
        <v>252</v>
      </c>
      <c r="BQ24">
        <v>6</v>
      </c>
      <c r="BR24">
        <v>7</v>
      </c>
    </row>
    <row r="25" spans="1:70" x14ac:dyDescent="0.25">
      <c r="A25">
        <v>23</v>
      </c>
      <c r="B25">
        <v>412</v>
      </c>
      <c r="C25">
        <v>88.429000000000002</v>
      </c>
      <c r="D25">
        <v>27.0459999999999</v>
      </c>
      <c r="E25" t="s">
        <v>175</v>
      </c>
      <c r="F25">
        <v>2</v>
      </c>
      <c r="G25" t="s">
        <v>72</v>
      </c>
      <c r="H25" t="s">
        <v>72</v>
      </c>
      <c r="I25" t="s">
        <v>72</v>
      </c>
      <c r="J25" t="s">
        <v>72</v>
      </c>
      <c r="K25">
        <v>20</v>
      </c>
      <c r="L25">
        <v>8</v>
      </c>
      <c r="M25">
        <v>20</v>
      </c>
      <c r="N25">
        <v>0</v>
      </c>
      <c r="O25" t="s">
        <v>72</v>
      </c>
      <c r="P25" t="s">
        <v>176</v>
      </c>
      <c r="Q25">
        <v>0</v>
      </c>
      <c r="R25" t="s">
        <v>72</v>
      </c>
      <c r="S25" t="s">
        <v>73</v>
      </c>
      <c r="T25" t="s">
        <v>74</v>
      </c>
      <c r="U25" t="s">
        <v>90</v>
      </c>
      <c r="V25" t="s">
        <v>72</v>
      </c>
      <c r="W25" t="s">
        <v>72</v>
      </c>
      <c r="X25" t="s">
        <v>77</v>
      </c>
      <c r="Y25">
        <v>0</v>
      </c>
      <c r="Z25" t="s">
        <v>72</v>
      </c>
      <c r="AA25" t="s">
        <v>72</v>
      </c>
      <c r="AB25" t="s">
        <v>72</v>
      </c>
      <c r="AC25" t="s">
        <v>72</v>
      </c>
      <c r="AD25" t="s">
        <v>72</v>
      </c>
      <c r="AE25">
        <v>0</v>
      </c>
      <c r="AF25" t="s">
        <v>148</v>
      </c>
      <c r="AG25" t="s">
        <v>94</v>
      </c>
      <c r="AH25" t="s">
        <v>72</v>
      </c>
      <c r="AI25" t="s">
        <v>150</v>
      </c>
      <c r="AJ25" t="s">
        <v>97</v>
      </c>
      <c r="AK25">
        <v>0</v>
      </c>
      <c r="AL25">
        <v>0</v>
      </c>
      <c r="AM25">
        <v>0</v>
      </c>
      <c r="AN25" t="s">
        <v>72</v>
      </c>
      <c r="AO25" t="s">
        <v>177</v>
      </c>
      <c r="AP25" t="s">
        <v>72</v>
      </c>
      <c r="AQ25" t="s">
        <v>72</v>
      </c>
      <c r="AR25" t="s">
        <v>72</v>
      </c>
      <c r="AS25" t="s">
        <v>72</v>
      </c>
      <c r="AT25" t="s">
        <v>72</v>
      </c>
      <c r="AU25" t="s">
        <v>72</v>
      </c>
      <c r="AV25" t="s">
        <v>72</v>
      </c>
      <c r="AW25" t="s">
        <v>72</v>
      </c>
      <c r="AX25" t="s">
        <v>178</v>
      </c>
      <c r="AY25">
        <v>36.989200599999997</v>
      </c>
      <c r="AZ25">
        <v>213</v>
      </c>
      <c r="BA25">
        <v>-3.2</v>
      </c>
      <c r="BB25">
        <v>516.24200440000004</v>
      </c>
      <c r="BC25">
        <v>-4.00077E-2</v>
      </c>
      <c r="BD25">
        <v>9.6025799999999994E-2</v>
      </c>
      <c r="BE25">
        <v>123.1110001</v>
      </c>
      <c r="BF25">
        <v>10.3259001</v>
      </c>
      <c r="BG25">
        <v>0.46666600000000003</v>
      </c>
      <c r="BH25">
        <v>7.1319599</v>
      </c>
      <c r="BI25">
        <v>1.09877</v>
      </c>
      <c r="BJ25">
        <v>95.197197000000003</v>
      </c>
      <c r="BK25">
        <v>4</v>
      </c>
      <c r="BL25">
        <v>42.734199500000003</v>
      </c>
      <c r="BM25">
        <v>150</v>
      </c>
      <c r="BN25">
        <v>5850.6699219000002</v>
      </c>
      <c r="BO25">
        <v>264.66799930000002</v>
      </c>
      <c r="BP25">
        <v>173</v>
      </c>
      <c r="BQ25">
        <v>6</v>
      </c>
      <c r="BR25">
        <v>6</v>
      </c>
    </row>
    <row r="26" spans="1:70" x14ac:dyDescent="0.25">
      <c r="A26">
        <v>24</v>
      </c>
      <c r="B26">
        <v>10633</v>
      </c>
      <c r="C26">
        <v>88.439999999999898</v>
      </c>
      <c r="D26">
        <v>27.0489999999999</v>
      </c>
      <c r="E26" t="s">
        <v>179</v>
      </c>
      <c r="F26">
        <v>15</v>
      </c>
      <c r="G26" t="s">
        <v>130</v>
      </c>
      <c r="H26" t="s">
        <v>72</v>
      </c>
      <c r="I26" t="s">
        <v>72</v>
      </c>
      <c r="J26" t="s">
        <v>88</v>
      </c>
      <c r="K26">
        <v>900</v>
      </c>
      <c r="L26">
        <v>400</v>
      </c>
      <c r="M26">
        <v>700</v>
      </c>
      <c r="N26">
        <v>360000</v>
      </c>
      <c r="O26" t="s">
        <v>89</v>
      </c>
      <c r="P26" t="s">
        <v>72</v>
      </c>
      <c r="Q26">
        <v>5400000</v>
      </c>
      <c r="R26" t="s">
        <v>72</v>
      </c>
      <c r="S26" t="s">
        <v>73</v>
      </c>
      <c r="T26" t="s">
        <v>74</v>
      </c>
      <c r="U26" t="s">
        <v>90</v>
      </c>
      <c r="V26" t="s">
        <v>180</v>
      </c>
      <c r="W26" t="s">
        <v>92</v>
      </c>
      <c r="X26" t="s">
        <v>119</v>
      </c>
      <c r="Y26">
        <v>2013</v>
      </c>
      <c r="Z26" t="s">
        <v>72</v>
      </c>
      <c r="AA26" t="s">
        <v>72</v>
      </c>
      <c r="AB26" t="s">
        <v>72</v>
      </c>
      <c r="AC26" t="s">
        <v>72</v>
      </c>
      <c r="AD26" t="s">
        <v>72</v>
      </c>
      <c r="AE26">
        <v>0</v>
      </c>
      <c r="AF26" t="s">
        <v>79</v>
      </c>
      <c r="AG26" t="s">
        <v>94</v>
      </c>
      <c r="AH26" t="s">
        <v>95</v>
      </c>
      <c r="AI26" t="s">
        <v>96</v>
      </c>
      <c r="AJ26" t="s">
        <v>113</v>
      </c>
      <c r="AK26">
        <v>0</v>
      </c>
      <c r="AL26">
        <v>0</v>
      </c>
      <c r="AM26">
        <v>0</v>
      </c>
      <c r="AN26" t="s">
        <v>181</v>
      </c>
      <c r="AO26" t="s">
        <v>82</v>
      </c>
      <c r="AP26" t="s">
        <v>114</v>
      </c>
      <c r="AQ26" t="s">
        <v>72</v>
      </c>
      <c r="AR26" t="s">
        <v>72</v>
      </c>
      <c r="AS26" t="s">
        <v>72</v>
      </c>
      <c r="AT26" t="s">
        <v>72</v>
      </c>
      <c r="AU26" t="s">
        <v>72</v>
      </c>
      <c r="AV26" t="s">
        <v>72</v>
      </c>
      <c r="AW26" t="s">
        <v>72</v>
      </c>
      <c r="AX26" t="s">
        <v>103</v>
      </c>
      <c r="AY26">
        <v>15.9793997</v>
      </c>
      <c r="AZ26">
        <v>219</v>
      </c>
      <c r="BA26">
        <v>0</v>
      </c>
      <c r="BB26">
        <v>448.45498659999998</v>
      </c>
      <c r="BC26">
        <v>-0.17579700000000001</v>
      </c>
      <c r="BD26">
        <v>0.207957</v>
      </c>
      <c r="BE26">
        <v>485.41198730000002</v>
      </c>
      <c r="BF26">
        <v>9.0232697000000002</v>
      </c>
      <c r="BG26">
        <v>0.44444400000000001</v>
      </c>
      <c r="BH26">
        <v>3.99472</v>
      </c>
      <c r="BI26">
        <v>0.63225799999999999</v>
      </c>
      <c r="BJ26">
        <v>455.00698849999998</v>
      </c>
      <c r="BK26">
        <v>4</v>
      </c>
      <c r="BL26">
        <v>19.350000399999999</v>
      </c>
      <c r="BM26">
        <v>1276.3499756000001</v>
      </c>
      <c r="BN26">
        <v>5450.9199219000002</v>
      </c>
      <c r="BO26">
        <v>294.77499390000003</v>
      </c>
      <c r="BP26">
        <v>732</v>
      </c>
      <c r="BQ26">
        <v>6</v>
      </c>
      <c r="BR26">
        <v>7</v>
      </c>
    </row>
    <row r="27" spans="1:70" x14ac:dyDescent="0.25">
      <c r="A27">
        <v>25</v>
      </c>
      <c r="B27">
        <v>246</v>
      </c>
      <c r="C27">
        <v>88.439999999999898</v>
      </c>
      <c r="D27">
        <v>27.0489999999999</v>
      </c>
      <c r="E27" t="s">
        <v>182</v>
      </c>
      <c r="F27">
        <v>15</v>
      </c>
      <c r="G27" t="s">
        <v>72</v>
      </c>
      <c r="H27" t="s">
        <v>72</v>
      </c>
      <c r="I27" t="s">
        <v>72</v>
      </c>
      <c r="J27" t="s">
        <v>72</v>
      </c>
      <c r="K27">
        <v>700</v>
      </c>
      <c r="L27">
        <v>400</v>
      </c>
      <c r="M27">
        <v>700</v>
      </c>
      <c r="N27">
        <v>0</v>
      </c>
      <c r="O27" t="s">
        <v>72</v>
      </c>
      <c r="P27" t="s">
        <v>72</v>
      </c>
      <c r="Q27">
        <v>0</v>
      </c>
      <c r="R27" t="s">
        <v>72</v>
      </c>
      <c r="S27" t="s">
        <v>73</v>
      </c>
      <c r="T27" t="s">
        <v>74</v>
      </c>
      <c r="U27" t="s">
        <v>90</v>
      </c>
      <c r="V27" t="s">
        <v>72</v>
      </c>
      <c r="W27" t="s">
        <v>72</v>
      </c>
      <c r="X27" t="s">
        <v>119</v>
      </c>
      <c r="Y27">
        <v>2013</v>
      </c>
      <c r="Z27" t="s">
        <v>72</v>
      </c>
      <c r="AA27" t="s">
        <v>72</v>
      </c>
      <c r="AB27" t="s">
        <v>72</v>
      </c>
      <c r="AC27" t="s">
        <v>72</v>
      </c>
      <c r="AD27" t="s">
        <v>72</v>
      </c>
      <c r="AE27">
        <v>0</v>
      </c>
      <c r="AF27" t="s">
        <v>79</v>
      </c>
      <c r="AG27" t="s">
        <v>94</v>
      </c>
      <c r="AH27" t="s">
        <v>72</v>
      </c>
      <c r="AI27" t="s">
        <v>96</v>
      </c>
      <c r="AJ27" t="s">
        <v>72</v>
      </c>
      <c r="AK27">
        <v>0</v>
      </c>
      <c r="AL27">
        <v>0</v>
      </c>
      <c r="AM27">
        <v>0</v>
      </c>
      <c r="AN27" t="s">
        <v>72</v>
      </c>
      <c r="AO27" t="s">
        <v>151</v>
      </c>
      <c r="AP27" t="s">
        <v>72</v>
      </c>
      <c r="AQ27" t="s">
        <v>72</v>
      </c>
      <c r="AR27" t="s">
        <v>72</v>
      </c>
      <c r="AS27" t="s">
        <v>72</v>
      </c>
      <c r="AT27" t="s">
        <v>183</v>
      </c>
      <c r="AU27" t="s">
        <v>72</v>
      </c>
      <c r="AV27" t="s">
        <v>72</v>
      </c>
      <c r="AW27" t="s">
        <v>72</v>
      </c>
      <c r="AX27" t="s">
        <v>184</v>
      </c>
      <c r="AY27">
        <v>15.9793997</v>
      </c>
      <c r="AZ27">
        <v>219</v>
      </c>
      <c r="BA27">
        <v>0</v>
      </c>
      <c r="BB27">
        <v>448.45498659999998</v>
      </c>
      <c r="BC27">
        <v>-0.17579700000000001</v>
      </c>
      <c r="BD27">
        <v>0.207957</v>
      </c>
      <c r="BE27">
        <v>485.41198730000002</v>
      </c>
      <c r="BF27">
        <v>9.0232697000000002</v>
      </c>
      <c r="BG27">
        <v>0.44444400000000001</v>
      </c>
      <c r="BH27">
        <v>3.99472</v>
      </c>
      <c r="BI27">
        <v>0.63225799999999999</v>
      </c>
      <c r="BJ27">
        <v>455.00698849999998</v>
      </c>
      <c r="BK27">
        <v>4</v>
      </c>
      <c r="BL27">
        <v>19.350000399999999</v>
      </c>
      <c r="BM27">
        <v>1276.3499756000001</v>
      </c>
      <c r="BN27">
        <v>5450.9199219000002</v>
      </c>
      <c r="BO27">
        <v>294.77499390000003</v>
      </c>
      <c r="BP27">
        <v>732</v>
      </c>
      <c r="BQ27">
        <v>6</v>
      </c>
      <c r="BR27">
        <v>7</v>
      </c>
    </row>
    <row r="28" spans="1:70" x14ac:dyDescent="0.25">
      <c r="A28">
        <v>26</v>
      </c>
      <c r="B28">
        <v>10209</v>
      </c>
      <c r="C28">
        <v>88.452511000000001</v>
      </c>
      <c r="D28">
        <v>27.014441999999899</v>
      </c>
      <c r="E28" t="s">
        <v>185</v>
      </c>
      <c r="F28">
        <v>1</v>
      </c>
      <c r="G28" t="s">
        <v>102</v>
      </c>
      <c r="H28" t="s">
        <v>72</v>
      </c>
      <c r="I28" t="s">
        <v>72</v>
      </c>
      <c r="J28" t="s">
        <v>88</v>
      </c>
      <c r="K28">
        <v>420</v>
      </c>
      <c r="L28">
        <v>226</v>
      </c>
      <c r="M28">
        <v>0</v>
      </c>
      <c r="N28">
        <v>94920</v>
      </c>
      <c r="O28" t="s">
        <v>89</v>
      </c>
      <c r="P28" t="s">
        <v>72</v>
      </c>
      <c r="Q28">
        <v>94920</v>
      </c>
      <c r="R28" t="s">
        <v>72</v>
      </c>
      <c r="S28" t="s">
        <v>73</v>
      </c>
      <c r="T28" t="s">
        <v>74</v>
      </c>
      <c r="U28" t="s">
        <v>90</v>
      </c>
      <c r="V28" t="s">
        <v>72</v>
      </c>
      <c r="W28" t="s">
        <v>76</v>
      </c>
      <c r="X28" t="s">
        <v>77</v>
      </c>
      <c r="Y28">
        <v>2006</v>
      </c>
      <c r="Z28" t="s">
        <v>72</v>
      </c>
      <c r="AA28" t="s">
        <v>72</v>
      </c>
      <c r="AB28" t="s">
        <v>72</v>
      </c>
      <c r="AC28" t="s">
        <v>72</v>
      </c>
      <c r="AD28" t="s">
        <v>72</v>
      </c>
      <c r="AE28">
        <v>0</v>
      </c>
      <c r="AF28" t="s">
        <v>186</v>
      </c>
      <c r="AG28" t="s">
        <v>94</v>
      </c>
      <c r="AH28" t="s">
        <v>95</v>
      </c>
      <c r="AI28" t="s">
        <v>96</v>
      </c>
      <c r="AJ28" t="s">
        <v>113</v>
      </c>
      <c r="AK28">
        <v>0</v>
      </c>
      <c r="AL28">
        <v>0</v>
      </c>
      <c r="AM28">
        <v>0</v>
      </c>
      <c r="AN28" t="s">
        <v>181</v>
      </c>
      <c r="AO28" t="s">
        <v>82</v>
      </c>
      <c r="AP28" t="s">
        <v>99</v>
      </c>
      <c r="AQ28" t="s">
        <v>72</v>
      </c>
      <c r="AR28" t="s">
        <v>72</v>
      </c>
      <c r="AS28" t="s">
        <v>72</v>
      </c>
      <c r="AT28" t="s">
        <v>72</v>
      </c>
      <c r="AU28" t="s">
        <v>72</v>
      </c>
      <c r="AV28" t="s">
        <v>72</v>
      </c>
      <c r="AW28" t="s">
        <v>72</v>
      </c>
      <c r="AX28" t="s">
        <v>72</v>
      </c>
      <c r="AY28">
        <v>37.162998199999997</v>
      </c>
      <c r="AZ28">
        <v>159</v>
      </c>
      <c r="BA28">
        <v>-1.92</v>
      </c>
      <c r="BB28">
        <v>484.35900880000003</v>
      </c>
      <c r="BC28">
        <v>-0.15021599999999999</v>
      </c>
      <c r="BD28">
        <v>0.20351</v>
      </c>
      <c r="BE28">
        <v>535.02301030000001</v>
      </c>
      <c r="BF28">
        <v>6.3581200000000004</v>
      </c>
      <c r="BG28">
        <v>0.495726</v>
      </c>
      <c r="BH28">
        <v>3.2506699999999999</v>
      </c>
      <c r="BI28">
        <v>0.90150799999999998</v>
      </c>
      <c r="BJ28">
        <v>773.18298340000001</v>
      </c>
      <c r="BK28">
        <v>4</v>
      </c>
      <c r="BL28">
        <v>47.290500600000001</v>
      </c>
      <c r="BM28">
        <v>609.55902100000003</v>
      </c>
      <c r="BN28">
        <v>1691.0100098</v>
      </c>
      <c r="BO28">
        <v>233.5839996</v>
      </c>
      <c r="BP28">
        <v>474</v>
      </c>
      <c r="BQ28">
        <v>5</v>
      </c>
      <c r="BR28">
        <v>3</v>
      </c>
    </row>
    <row r="29" spans="1:70" x14ac:dyDescent="0.25">
      <c r="A29">
        <v>27</v>
      </c>
      <c r="B29">
        <v>13434</v>
      </c>
      <c r="C29">
        <v>88.455158999999895</v>
      </c>
      <c r="D29">
        <v>26.993165999999899</v>
      </c>
      <c r="E29" t="s">
        <v>187</v>
      </c>
      <c r="F29">
        <v>1</v>
      </c>
      <c r="G29" t="s">
        <v>188</v>
      </c>
      <c r="H29" t="s">
        <v>72</v>
      </c>
      <c r="I29" t="s">
        <v>72</v>
      </c>
      <c r="J29" t="s">
        <v>189</v>
      </c>
      <c r="K29">
        <v>279</v>
      </c>
      <c r="L29">
        <v>76</v>
      </c>
      <c r="M29">
        <v>100</v>
      </c>
      <c r="N29">
        <v>21204</v>
      </c>
      <c r="O29" t="s">
        <v>89</v>
      </c>
      <c r="P29" t="s">
        <v>72</v>
      </c>
      <c r="Q29">
        <v>21204</v>
      </c>
      <c r="R29" t="s">
        <v>72</v>
      </c>
      <c r="S29" t="s">
        <v>73</v>
      </c>
      <c r="T29" t="s">
        <v>74</v>
      </c>
      <c r="U29" t="s">
        <v>190</v>
      </c>
      <c r="V29" t="s">
        <v>191</v>
      </c>
      <c r="W29" t="s">
        <v>76</v>
      </c>
      <c r="X29" t="s">
        <v>77</v>
      </c>
      <c r="Y29">
        <v>2004</v>
      </c>
      <c r="Z29" t="s">
        <v>72</v>
      </c>
      <c r="AA29" t="s">
        <v>72</v>
      </c>
      <c r="AB29" t="s">
        <v>72</v>
      </c>
      <c r="AC29" t="s">
        <v>72</v>
      </c>
      <c r="AD29" t="s">
        <v>72</v>
      </c>
      <c r="AE29">
        <v>0</v>
      </c>
      <c r="AF29" t="s">
        <v>79</v>
      </c>
      <c r="AG29" t="s">
        <v>94</v>
      </c>
      <c r="AH29" t="s">
        <v>95</v>
      </c>
      <c r="AI29" t="s">
        <v>96</v>
      </c>
      <c r="AJ29" t="s">
        <v>97</v>
      </c>
      <c r="AK29">
        <v>0</v>
      </c>
      <c r="AL29">
        <v>0</v>
      </c>
      <c r="AM29">
        <v>0</v>
      </c>
      <c r="AN29" t="s">
        <v>192</v>
      </c>
      <c r="AO29" t="s">
        <v>193</v>
      </c>
      <c r="AP29" t="s">
        <v>99</v>
      </c>
      <c r="AQ29" t="s">
        <v>72</v>
      </c>
      <c r="AR29" t="s">
        <v>72</v>
      </c>
      <c r="AS29" t="s">
        <v>72</v>
      </c>
      <c r="AT29" t="s">
        <v>72</v>
      </c>
      <c r="AU29" t="s">
        <v>72</v>
      </c>
      <c r="AV29" t="s">
        <v>72</v>
      </c>
      <c r="AW29" t="s">
        <v>72</v>
      </c>
      <c r="AX29" t="s">
        <v>194</v>
      </c>
      <c r="AY29">
        <v>31.5501003</v>
      </c>
      <c r="AZ29">
        <v>129</v>
      </c>
      <c r="BA29">
        <v>-0.64</v>
      </c>
      <c r="BB29">
        <v>401.06600950000001</v>
      </c>
      <c r="BC29">
        <v>-0.15489900000000001</v>
      </c>
      <c r="BD29">
        <v>0.19903499999999999</v>
      </c>
      <c r="BE29">
        <v>766.58697510000002</v>
      </c>
      <c r="BF29">
        <v>5.8144498000000002</v>
      </c>
      <c r="BG29">
        <v>0.49735499999999999</v>
      </c>
      <c r="BH29">
        <v>2.1936599999999999</v>
      </c>
      <c r="BI29">
        <v>0.55839300000000003</v>
      </c>
      <c r="BJ29">
        <v>389.30999759999997</v>
      </c>
      <c r="BK29">
        <v>6</v>
      </c>
      <c r="BL29">
        <v>45.269298599999999</v>
      </c>
      <c r="BM29">
        <v>1144.8299560999999</v>
      </c>
      <c r="BN29">
        <v>1575.4499512</v>
      </c>
      <c r="BO29">
        <v>59.676399199999999</v>
      </c>
      <c r="BP29">
        <v>426</v>
      </c>
      <c r="BQ29">
        <v>5</v>
      </c>
      <c r="BR29">
        <v>3</v>
      </c>
    </row>
    <row r="30" spans="1:70" x14ac:dyDescent="0.25">
      <c r="A30">
        <v>28</v>
      </c>
      <c r="B30">
        <v>12688</v>
      </c>
      <c r="C30">
        <v>88.456801999999897</v>
      </c>
      <c r="D30">
        <v>26.993442000000002</v>
      </c>
      <c r="E30" t="s">
        <v>195</v>
      </c>
      <c r="F30">
        <v>1</v>
      </c>
      <c r="G30" t="s">
        <v>188</v>
      </c>
      <c r="H30" t="s">
        <v>72</v>
      </c>
      <c r="I30" t="s">
        <v>72</v>
      </c>
      <c r="J30" t="s">
        <v>189</v>
      </c>
      <c r="K30">
        <v>63</v>
      </c>
      <c r="L30">
        <v>40</v>
      </c>
      <c r="M30">
        <v>53</v>
      </c>
      <c r="N30">
        <v>2520</v>
      </c>
      <c r="O30" t="s">
        <v>89</v>
      </c>
      <c r="P30" t="s">
        <v>72</v>
      </c>
      <c r="Q30">
        <v>2520</v>
      </c>
      <c r="R30" t="s">
        <v>72</v>
      </c>
      <c r="S30" t="s">
        <v>73</v>
      </c>
      <c r="T30" t="s">
        <v>74</v>
      </c>
      <c r="U30" t="s">
        <v>190</v>
      </c>
      <c r="V30" t="s">
        <v>196</v>
      </c>
      <c r="W30" t="s">
        <v>76</v>
      </c>
      <c r="X30" t="s">
        <v>77</v>
      </c>
      <c r="Y30">
        <v>2004</v>
      </c>
      <c r="Z30" t="s">
        <v>72</v>
      </c>
      <c r="AA30" t="s">
        <v>72</v>
      </c>
      <c r="AB30" t="s">
        <v>72</v>
      </c>
      <c r="AC30" t="s">
        <v>72</v>
      </c>
      <c r="AD30" t="s">
        <v>72</v>
      </c>
      <c r="AE30">
        <v>0</v>
      </c>
      <c r="AF30" t="s">
        <v>79</v>
      </c>
      <c r="AG30" t="s">
        <v>94</v>
      </c>
      <c r="AH30" t="s">
        <v>95</v>
      </c>
      <c r="AI30" t="s">
        <v>96</v>
      </c>
      <c r="AJ30" t="s">
        <v>97</v>
      </c>
      <c r="AK30">
        <v>0</v>
      </c>
      <c r="AL30">
        <v>0</v>
      </c>
      <c r="AM30">
        <v>0</v>
      </c>
      <c r="AN30" t="s">
        <v>192</v>
      </c>
      <c r="AO30" t="s">
        <v>107</v>
      </c>
      <c r="AP30" t="s">
        <v>99</v>
      </c>
      <c r="AQ30" t="s">
        <v>72</v>
      </c>
      <c r="AR30" t="s">
        <v>72</v>
      </c>
      <c r="AS30" t="s">
        <v>72</v>
      </c>
      <c r="AT30" t="s">
        <v>176</v>
      </c>
      <c r="AU30" t="s">
        <v>72</v>
      </c>
      <c r="AV30" t="s">
        <v>72</v>
      </c>
      <c r="AW30" t="s">
        <v>72</v>
      </c>
      <c r="AX30" t="s">
        <v>197</v>
      </c>
      <c r="AY30">
        <v>35.931098900000002</v>
      </c>
      <c r="AZ30">
        <v>115</v>
      </c>
      <c r="BA30">
        <v>0</v>
      </c>
      <c r="BB30">
        <v>381.4970093</v>
      </c>
      <c r="BC30">
        <v>-0.166992</v>
      </c>
      <c r="BD30">
        <v>0.20716899999999999</v>
      </c>
      <c r="BE30">
        <v>676.04101560000004</v>
      </c>
      <c r="BF30">
        <v>3.5408599000000001</v>
      </c>
      <c r="BG30">
        <v>0.52</v>
      </c>
      <c r="BH30">
        <v>-0.31961000000000001</v>
      </c>
      <c r="BI30">
        <v>0.56463700000000006</v>
      </c>
      <c r="BJ30">
        <v>269.25799560000002</v>
      </c>
      <c r="BK30">
        <v>4</v>
      </c>
      <c r="BL30">
        <v>39.217498800000001</v>
      </c>
      <c r="BM30">
        <v>1208.4300536999999</v>
      </c>
      <c r="BN30">
        <v>1449.1899414</v>
      </c>
      <c r="BO30">
        <v>62.020500200000001</v>
      </c>
      <c r="BP30">
        <v>366</v>
      </c>
      <c r="BQ30">
        <v>5</v>
      </c>
      <c r="BR30">
        <v>3</v>
      </c>
    </row>
    <row r="31" spans="1:70" x14ac:dyDescent="0.25">
      <c r="A31">
        <v>29</v>
      </c>
      <c r="B31">
        <v>13433</v>
      </c>
      <c r="C31">
        <v>88.457622999999899</v>
      </c>
      <c r="D31">
        <v>26.993293999999899</v>
      </c>
      <c r="E31" t="s">
        <v>198</v>
      </c>
      <c r="F31">
        <v>1</v>
      </c>
      <c r="G31" t="s">
        <v>188</v>
      </c>
      <c r="H31" t="s">
        <v>72</v>
      </c>
      <c r="I31" t="s">
        <v>72</v>
      </c>
      <c r="J31" t="s">
        <v>189</v>
      </c>
      <c r="K31">
        <v>122</v>
      </c>
      <c r="L31">
        <v>63</v>
      </c>
      <c r="M31">
        <v>23</v>
      </c>
      <c r="N31">
        <v>7686</v>
      </c>
      <c r="O31" t="s">
        <v>89</v>
      </c>
      <c r="P31" t="s">
        <v>72</v>
      </c>
      <c r="Q31">
        <v>7686</v>
      </c>
      <c r="R31" t="s">
        <v>72</v>
      </c>
      <c r="S31" t="s">
        <v>73</v>
      </c>
      <c r="T31" t="s">
        <v>74</v>
      </c>
      <c r="U31" t="s">
        <v>190</v>
      </c>
      <c r="V31" t="s">
        <v>199</v>
      </c>
      <c r="W31" t="s">
        <v>76</v>
      </c>
      <c r="X31" t="s">
        <v>77</v>
      </c>
      <c r="Y31">
        <v>2004</v>
      </c>
      <c r="Z31" t="s">
        <v>72</v>
      </c>
      <c r="AA31" t="s">
        <v>72</v>
      </c>
      <c r="AB31" t="s">
        <v>72</v>
      </c>
      <c r="AC31" t="s">
        <v>72</v>
      </c>
      <c r="AD31" t="s">
        <v>72</v>
      </c>
      <c r="AE31">
        <v>0</v>
      </c>
      <c r="AF31" t="s">
        <v>79</v>
      </c>
      <c r="AG31" t="s">
        <v>94</v>
      </c>
      <c r="AH31" t="s">
        <v>95</v>
      </c>
      <c r="AI31" t="s">
        <v>96</v>
      </c>
      <c r="AJ31" t="s">
        <v>97</v>
      </c>
      <c r="AK31">
        <v>0</v>
      </c>
      <c r="AL31">
        <v>0</v>
      </c>
      <c r="AM31">
        <v>0</v>
      </c>
      <c r="AN31" t="s">
        <v>192</v>
      </c>
      <c r="AO31" t="s">
        <v>72</v>
      </c>
      <c r="AP31" t="s">
        <v>200</v>
      </c>
      <c r="AQ31" t="s">
        <v>72</v>
      </c>
      <c r="AR31" t="s">
        <v>72</v>
      </c>
      <c r="AS31" t="s">
        <v>72</v>
      </c>
      <c r="AT31" t="s">
        <v>201</v>
      </c>
      <c r="AU31" t="s">
        <v>72</v>
      </c>
      <c r="AV31" t="s">
        <v>202</v>
      </c>
      <c r="AW31" t="s">
        <v>72</v>
      </c>
      <c r="AX31" t="s">
        <v>72</v>
      </c>
      <c r="AY31">
        <v>21.4643993</v>
      </c>
      <c r="AZ31">
        <v>208</v>
      </c>
      <c r="BA31">
        <v>-0.64</v>
      </c>
      <c r="BB31">
        <v>381.4970093</v>
      </c>
      <c r="BC31">
        <v>-0.16208600000000001</v>
      </c>
      <c r="BD31">
        <v>0.209956</v>
      </c>
      <c r="BE31">
        <v>661.55603029999997</v>
      </c>
      <c r="BF31">
        <v>6.3495597999999998</v>
      </c>
      <c r="BG31">
        <v>0.474748</v>
      </c>
      <c r="BH31">
        <v>1.9023600000000001</v>
      </c>
      <c r="BI31">
        <v>0.61068199999999995</v>
      </c>
      <c r="BJ31">
        <v>263.68798829999997</v>
      </c>
      <c r="BK31">
        <v>4</v>
      </c>
      <c r="BL31">
        <v>27.4773006</v>
      </c>
      <c r="BM31">
        <v>1266.4499512</v>
      </c>
      <c r="BN31">
        <v>1419.1800536999999</v>
      </c>
      <c r="BO31">
        <v>7.3057599</v>
      </c>
      <c r="BP31">
        <v>344</v>
      </c>
      <c r="BQ31">
        <v>5</v>
      </c>
      <c r="BR31">
        <v>3</v>
      </c>
    </row>
    <row r="32" spans="1:70" x14ac:dyDescent="0.25">
      <c r="A32">
        <v>30</v>
      </c>
      <c r="B32">
        <v>10257</v>
      </c>
      <c r="C32">
        <v>88.459971999999894</v>
      </c>
      <c r="D32">
        <v>27.000361000000002</v>
      </c>
      <c r="E32" t="s">
        <v>203</v>
      </c>
      <c r="F32">
        <v>0.5</v>
      </c>
      <c r="G32" t="s">
        <v>130</v>
      </c>
      <c r="H32" t="s">
        <v>72</v>
      </c>
      <c r="I32" t="s">
        <v>72</v>
      </c>
      <c r="J32" t="s">
        <v>88</v>
      </c>
      <c r="K32">
        <v>10</v>
      </c>
      <c r="L32">
        <v>2</v>
      </c>
      <c r="M32">
        <v>0</v>
      </c>
      <c r="N32">
        <v>20</v>
      </c>
      <c r="O32" t="s">
        <v>89</v>
      </c>
      <c r="P32" t="s">
        <v>72</v>
      </c>
      <c r="Q32">
        <v>10</v>
      </c>
      <c r="R32" t="s">
        <v>72</v>
      </c>
      <c r="S32" t="s">
        <v>73</v>
      </c>
      <c r="T32" t="s">
        <v>74</v>
      </c>
      <c r="U32" t="s">
        <v>90</v>
      </c>
      <c r="V32" t="s">
        <v>204</v>
      </c>
      <c r="W32" t="s">
        <v>76</v>
      </c>
      <c r="X32" t="s">
        <v>77</v>
      </c>
      <c r="Y32">
        <v>2006</v>
      </c>
      <c r="Z32" t="s">
        <v>72</v>
      </c>
      <c r="AA32" t="s">
        <v>72</v>
      </c>
      <c r="AB32" t="s">
        <v>72</v>
      </c>
      <c r="AC32" t="s">
        <v>72</v>
      </c>
      <c r="AD32" t="s">
        <v>205</v>
      </c>
      <c r="AE32">
        <v>0</v>
      </c>
      <c r="AF32" t="s">
        <v>79</v>
      </c>
      <c r="AG32" t="s">
        <v>128</v>
      </c>
      <c r="AH32" t="s">
        <v>95</v>
      </c>
      <c r="AI32" t="s">
        <v>96</v>
      </c>
      <c r="AJ32" t="s">
        <v>97</v>
      </c>
      <c r="AK32">
        <v>0</v>
      </c>
      <c r="AL32">
        <v>0</v>
      </c>
      <c r="AM32">
        <v>0</v>
      </c>
      <c r="AN32" t="s">
        <v>192</v>
      </c>
      <c r="AO32" t="s">
        <v>82</v>
      </c>
      <c r="AP32" t="s">
        <v>99</v>
      </c>
      <c r="AQ32" t="s">
        <v>72</v>
      </c>
      <c r="AR32" t="s">
        <v>72</v>
      </c>
      <c r="AS32" t="s">
        <v>72</v>
      </c>
      <c r="AT32" t="s">
        <v>72</v>
      </c>
      <c r="AU32" t="s">
        <v>72</v>
      </c>
      <c r="AV32" t="s">
        <v>72</v>
      </c>
      <c r="AW32" t="s">
        <v>72</v>
      </c>
      <c r="AX32" t="s">
        <v>103</v>
      </c>
      <c r="AY32">
        <v>17.890100499999999</v>
      </c>
      <c r="AZ32">
        <v>198</v>
      </c>
      <c r="BA32">
        <v>0</v>
      </c>
      <c r="BB32">
        <v>372.63299560000002</v>
      </c>
      <c r="BC32">
        <v>-0.164076</v>
      </c>
      <c r="BD32">
        <v>0.23447699999999999</v>
      </c>
      <c r="BE32">
        <v>146.3090057</v>
      </c>
      <c r="BF32">
        <v>6.9145497999999996</v>
      </c>
      <c r="BG32">
        <v>0.51111099999999998</v>
      </c>
      <c r="BH32">
        <v>2.0912899999999999</v>
      </c>
      <c r="BI32">
        <v>0.99946999999999997</v>
      </c>
      <c r="BJ32">
        <v>380.17300419999998</v>
      </c>
      <c r="BK32">
        <v>4</v>
      </c>
      <c r="BL32">
        <v>37.191699999999997</v>
      </c>
      <c r="BM32">
        <v>805.5469971</v>
      </c>
      <c r="BN32">
        <v>665.79400629999998</v>
      </c>
      <c r="BO32">
        <v>253.81100459999999</v>
      </c>
      <c r="BP32">
        <v>368</v>
      </c>
      <c r="BQ32">
        <v>5</v>
      </c>
      <c r="BR32">
        <v>3</v>
      </c>
    </row>
    <row r="33" spans="1:70" x14ac:dyDescent="0.25">
      <c r="A33">
        <v>31</v>
      </c>
      <c r="B33">
        <v>13404</v>
      </c>
      <c r="C33">
        <v>88.459683999999896</v>
      </c>
      <c r="D33">
        <v>26.991879000000001</v>
      </c>
      <c r="E33" t="s">
        <v>206</v>
      </c>
      <c r="F33">
        <v>1</v>
      </c>
      <c r="G33" t="s">
        <v>102</v>
      </c>
      <c r="H33" t="s">
        <v>72</v>
      </c>
      <c r="I33" t="s">
        <v>72</v>
      </c>
      <c r="J33" t="s">
        <v>189</v>
      </c>
      <c r="K33">
        <v>198</v>
      </c>
      <c r="L33">
        <v>67</v>
      </c>
      <c r="M33">
        <v>36</v>
      </c>
      <c r="N33">
        <v>13266</v>
      </c>
      <c r="O33" t="s">
        <v>89</v>
      </c>
      <c r="P33" t="s">
        <v>72</v>
      </c>
      <c r="Q33">
        <v>13266</v>
      </c>
      <c r="R33" t="s">
        <v>72</v>
      </c>
      <c r="S33" t="s">
        <v>73</v>
      </c>
      <c r="T33" t="s">
        <v>74</v>
      </c>
      <c r="U33" t="s">
        <v>190</v>
      </c>
      <c r="V33" t="s">
        <v>207</v>
      </c>
      <c r="W33" t="s">
        <v>208</v>
      </c>
      <c r="X33" t="s">
        <v>77</v>
      </c>
      <c r="Y33">
        <v>2004</v>
      </c>
      <c r="Z33" t="s">
        <v>72</v>
      </c>
      <c r="AA33" t="s">
        <v>72</v>
      </c>
      <c r="AB33" t="s">
        <v>72</v>
      </c>
      <c r="AC33" t="s">
        <v>72</v>
      </c>
      <c r="AD33" t="s">
        <v>209</v>
      </c>
      <c r="AE33">
        <v>0</v>
      </c>
      <c r="AF33" t="s">
        <v>79</v>
      </c>
      <c r="AG33" t="s">
        <v>94</v>
      </c>
      <c r="AH33" t="s">
        <v>95</v>
      </c>
      <c r="AI33" t="s">
        <v>210</v>
      </c>
      <c r="AJ33" t="s">
        <v>97</v>
      </c>
      <c r="AK33">
        <v>0</v>
      </c>
      <c r="AL33">
        <v>0</v>
      </c>
      <c r="AM33">
        <v>0</v>
      </c>
      <c r="AN33" t="s">
        <v>192</v>
      </c>
      <c r="AO33" t="s">
        <v>72</v>
      </c>
      <c r="AP33" t="s">
        <v>200</v>
      </c>
      <c r="AQ33" t="s">
        <v>72</v>
      </c>
      <c r="AR33" t="s">
        <v>72</v>
      </c>
      <c r="AS33" t="s">
        <v>72</v>
      </c>
      <c r="AT33" t="s">
        <v>211</v>
      </c>
      <c r="AU33" t="s">
        <v>72</v>
      </c>
      <c r="AV33" t="s">
        <v>212</v>
      </c>
      <c r="AW33" t="s">
        <v>72</v>
      </c>
      <c r="AX33" t="s">
        <v>213</v>
      </c>
      <c r="AY33">
        <v>15.276599900000001</v>
      </c>
      <c r="AZ33">
        <v>218</v>
      </c>
      <c r="BA33">
        <v>3.2</v>
      </c>
      <c r="BB33">
        <v>375.09100339999998</v>
      </c>
      <c r="BC33">
        <v>-0.16828799999999999</v>
      </c>
      <c r="BD33">
        <v>0.22075900000000001</v>
      </c>
      <c r="BE33">
        <v>747.18200679999995</v>
      </c>
      <c r="BF33">
        <v>4.0039802</v>
      </c>
      <c r="BG33">
        <v>0.49382900000000002</v>
      </c>
      <c r="BH33">
        <v>-8.3816404000000002</v>
      </c>
      <c r="BI33">
        <v>0.63970300000000002</v>
      </c>
      <c r="BJ33">
        <v>464.52301030000001</v>
      </c>
      <c r="BK33">
        <v>4</v>
      </c>
      <c r="BL33">
        <v>10.449700399999999</v>
      </c>
      <c r="BM33">
        <v>1526.8399658000001</v>
      </c>
      <c r="BN33">
        <v>1471.8199463000001</v>
      </c>
      <c r="BO33">
        <v>336.25100709999998</v>
      </c>
      <c r="BP33">
        <v>447</v>
      </c>
      <c r="BQ33">
        <v>5</v>
      </c>
      <c r="BR33">
        <v>3</v>
      </c>
    </row>
    <row r="34" spans="1:70" x14ac:dyDescent="0.25">
      <c r="A34">
        <v>32</v>
      </c>
      <c r="B34">
        <v>12860</v>
      </c>
      <c r="C34">
        <v>88.463802000000001</v>
      </c>
      <c r="D34">
        <v>26.996030000000001</v>
      </c>
      <c r="E34" t="s">
        <v>214</v>
      </c>
      <c r="F34">
        <v>1</v>
      </c>
      <c r="G34" t="s">
        <v>102</v>
      </c>
      <c r="H34" t="s">
        <v>72</v>
      </c>
      <c r="I34" t="s">
        <v>72</v>
      </c>
      <c r="J34" t="s">
        <v>189</v>
      </c>
      <c r="K34">
        <v>68</v>
      </c>
      <c r="L34">
        <v>25</v>
      </c>
      <c r="M34">
        <v>7</v>
      </c>
      <c r="N34">
        <v>1700</v>
      </c>
      <c r="O34" t="s">
        <v>89</v>
      </c>
      <c r="P34" t="s">
        <v>215</v>
      </c>
      <c r="Q34">
        <v>1700</v>
      </c>
      <c r="R34" t="s">
        <v>72</v>
      </c>
      <c r="S34" t="s">
        <v>73</v>
      </c>
      <c r="T34" t="s">
        <v>74</v>
      </c>
      <c r="U34" t="s">
        <v>190</v>
      </c>
      <c r="V34" t="s">
        <v>216</v>
      </c>
      <c r="W34" t="s">
        <v>76</v>
      </c>
      <c r="X34" t="s">
        <v>77</v>
      </c>
      <c r="Y34">
        <v>2011</v>
      </c>
      <c r="Z34" t="s">
        <v>72</v>
      </c>
      <c r="AA34" t="s">
        <v>72</v>
      </c>
      <c r="AB34" t="s">
        <v>72</v>
      </c>
      <c r="AC34" t="s">
        <v>72</v>
      </c>
      <c r="AD34" t="s">
        <v>72</v>
      </c>
      <c r="AE34">
        <v>0</v>
      </c>
      <c r="AF34" t="s">
        <v>79</v>
      </c>
      <c r="AG34" t="s">
        <v>94</v>
      </c>
      <c r="AH34" t="s">
        <v>95</v>
      </c>
      <c r="AI34" t="s">
        <v>96</v>
      </c>
      <c r="AJ34" t="s">
        <v>97</v>
      </c>
      <c r="AK34">
        <v>0</v>
      </c>
      <c r="AL34">
        <v>0</v>
      </c>
      <c r="AM34">
        <v>0</v>
      </c>
      <c r="AN34" t="s">
        <v>192</v>
      </c>
      <c r="AO34" t="s">
        <v>82</v>
      </c>
      <c r="AP34" t="s">
        <v>99</v>
      </c>
      <c r="AQ34" t="s">
        <v>72</v>
      </c>
      <c r="AR34" t="s">
        <v>72</v>
      </c>
      <c r="AS34" t="s">
        <v>72</v>
      </c>
      <c r="AT34" t="s">
        <v>176</v>
      </c>
      <c r="AU34" t="s">
        <v>72</v>
      </c>
      <c r="AV34" t="s">
        <v>217</v>
      </c>
      <c r="AW34" t="s">
        <v>72</v>
      </c>
      <c r="AX34" t="s">
        <v>218</v>
      </c>
      <c r="AY34">
        <v>32.311500500000001</v>
      </c>
      <c r="AZ34">
        <v>238</v>
      </c>
      <c r="BA34">
        <v>1.28</v>
      </c>
      <c r="BB34">
        <v>373.44299319999999</v>
      </c>
      <c r="BC34">
        <v>-0.156967</v>
      </c>
      <c r="BD34">
        <v>0.20968899999999999</v>
      </c>
      <c r="BE34">
        <v>170.01800539999999</v>
      </c>
      <c r="BF34">
        <v>2.98387</v>
      </c>
      <c r="BG34">
        <v>0.51666599999999996</v>
      </c>
      <c r="BH34">
        <v>-7.3643197999999996</v>
      </c>
      <c r="BI34">
        <v>1.1993001000000001</v>
      </c>
      <c r="BJ34">
        <v>587.5</v>
      </c>
      <c r="BK34">
        <v>4</v>
      </c>
      <c r="BL34">
        <v>18.229700099999999</v>
      </c>
      <c r="BM34">
        <v>1418.1899414</v>
      </c>
      <c r="BN34">
        <v>908.63897710000003</v>
      </c>
      <c r="BO34">
        <v>288.43499759999997</v>
      </c>
      <c r="BP34">
        <v>546</v>
      </c>
      <c r="BQ34">
        <v>5</v>
      </c>
      <c r="BR34">
        <v>3</v>
      </c>
    </row>
    <row r="35" spans="1:70" x14ac:dyDescent="0.25">
      <c r="A35">
        <v>33</v>
      </c>
      <c r="B35">
        <v>13043</v>
      </c>
      <c r="C35">
        <v>88.429777000000001</v>
      </c>
      <c r="D35">
        <v>26.990872</v>
      </c>
      <c r="E35" t="s">
        <v>219</v>
      </c>
      <c r="F35">
        <v>1</v>
      </c>
      <c r="G35" t="s">
        <v>102</v>
      </c>
      <c r="H35" t="s">
        <v>72</v>
      </c>
      <c r="I35" t="s">
        <v>72</v>
      </c>
      <c r="J35" t="s">
        <v>189</v>
      </c>
      <c r="K35">
        <v>229</v>
      </c>
      <c r="L35">
        <v>81</v>
      </c>
      <c r="M35">
        <v>0</v>
      </c>
      <c r="N35">
        <v>18549</v>
      </c>
      <c r="O35" t="s">
        <v>89</v>
      </c>
      <c r="P35" t="s">
        <v>72</v>
      </c>
      <c r="Q35">
        <v>18549</v>
      </c>
      <c r="R35" t="s">
        <v>72</v>
      </c>
      <c r="S35" t="s">
        <v>73</v>
      </c>
      <c r="T35" t="s">
        <v>74</v>
      </c>
      <c r="U35" t="s">
        <v>190</v>
      </c>
      <c r="V35" t="s">
        <v>220</v>
      </c>
      <c r="W35" t="s">
        <v>92</v>
      </c>
      <c r="X35" t="s">
        <v>77</v>
      </c>
      <c r="Y35">
        <v>2014</v>
      </c>
      <c r="Z35" t="s">
        <v>72</v>
      </c>
      <c r="AA35" t="s">
        <v>72</v>
      </c>
      <c r="AB35" t="s">
        <v>72</v>
      </c>
      <c r="AC35" t="s">
        <v>72</v>
      </c>
      <c r="AD35" t="s">
        <v>72</v>
      </c>
      <c r="AE35">
        <v>0</v>
      </c>
      <c r="AF35" t="s">
        <v>79</v>
      </c>
      <c r="AG35" t="s">
        <v>94</v>
      </c>
      <c r="AH35" t="s">
        <v>95</v>
      </c>
      <c r="AI35" t="s">
        <v>96</v>
      </c>
      <c r="AJ35" t="s">
        <v>97</v>
      </c>
      <c r="AK35">
        <v>0</v>
      </c>
      <c r="AL35">
        <v>0</v>
      </c>
      <c r="AM35">
        <v>0</v>
      </c>
      <c r="AN35" t="s">
        <v>98</v>
      </c>
      <c r="AO35" t="s">
        <v>221</v>
      </c>
      <c r="AP35" t="s">
        <v>99</v>
      </c>
      <c r="AQ35" t="s">
        <v>72</v>
      </c>
      <c r="AR35" t="s">
        <v>72</v>
      </c>
      <c r="AS35" t="s">
        <v>72</v>
      </c>
      <c r="AT35" t="s">
        <v>72</v>
      </c>
      <c r="AU35" t="s">
        <v>72</v>
      </c>
      <c r="AV35" t="s">
        <v>222</v>
      </c>
      <c r="AW35" t="s">
        <v>72</v>
      </c>
      <c r="AX35" t="s">
        <v>223</v>
      </c>
      <c r="AY35">
        <v>28.286699299999999</v>
      </c>
      <c r="AZ35">
        <v>244</v>
      </c>
      <c r="BA35">
        <v>0.64</v>
      </c>
      <c r="BB35">
        <v>367.33599850000002</v>
      </c>
      <c r="BC35">
        <v>-0.15321599999999999</v>
      </c>
      <c r="BD35">
        <v>0.214064</v>
      </c>
      <c r="BE35">
        <v>482.506012</v>
      </c>
      <c r="BF35">
        <v>5.3702698</v>
      </c>
      <c r="BG35">
        <v>0.52046800000000004</v>
      </c>
      <c r="BH35">
        <v>1.4341600000000001</v>
      </c>
      <c r="BI35">
        <v>0.95594400000000002</v>
      </c>
      <c r="BJ35">
        <v>274.14599609999999</v>
      </c>
      <c r="BK35">
        <v>6</v>
      </c>
      <c r="BL35">
        <v>21.968700399999999</v>
      </c>
      <c r="BM35">
        <v>1260.0799560999999</v>
      </c>
      <c r="BN35">
        <v>3801.3601073999998</v>
      </c>
      <c r="BO35">
        <v>318.01300049999998</v>
      </c>
      <c r="BP35">
        <v>240</v>
      </c>
      <c r="BQ35">
        <v>5</v>
      </c>
      <c r="BR35">
        <v>7</v>
      </c>
    </row>
    <row r="36" spans="1:70" x14ac:dyDescent="0.25">
      <c r="A36">
        <v>34</v>
      </c>
      <c r="B36">
        <v>13487</v>
      </c>
      <c r="C36">
        <v>88.423422000000002</v>
      </c>
      <c r="D36">
        <v>26.9912689999999</v>
      </c>
      <c r="E36" t="s">
        <v>224</v>
      </c>
      <c r="F36">
        <v>2</v>
      </c>
      <c r="G36" t="s">
        <v>225</v>
      </c>
      <c r="H36" t="s">
        <v>72</v>
      </c>
      <c r="I36" t="s">
        <v>72</v>
      </c>
      <c r="J36" t="s">
        <v>189</v>
      </c>
      <c r="K36">
        <v>70</v>
      </c>
      <c r="L36">
        <v>45</v>
      </c>
      <c r="M36">
        <v>50</v>
      </c>
      <c r="N36">
        <v>3150</v>
      </c>
      <c r="O36" t="s">
        <v>89</v>
      </c>
      <c r="P36" t="s">
        <v>72</v>
      </c>
      <c r="Q36">
        <v>6300</v>
      </c>
      <c r="R36" t="s">
        <v>72</v>
      </c>
      <c r="S36" t="s">
        <v>73</v>
      </c>
      <c r="T36" t="s">
        <v>74</v>
      </c>
      <c r="U36" t="s">
        <v>190</v>
      </c>
      <c r="V36" t="s">
        <v>226</v>
      </c>
      <c r="W36" t="s">
        <v>76</v>
      </c>
      <c r="X36" t="s">
        <v>77</v>
      </c>
      <c r="Y36">
        <v>2007</v>
      </c>
      <c r="Z36" t="s">
        <v>72</v>
      </c>
      <c r="AA36" t="s">
        <v>72</v>
      </c>
      <c r="AB36" t="s">
        <v>72</v>
      </c>
      <c r="AC36" t="s">
        <v>72</v>
      </c>
      <c r="AD36" t="s">
        <v>227</v>
      </c>
      <c r="AE36">
        <v>0</v>
      </c>
      <c r="AF36" t="s">
        <v>148</v>
      </c>
      <c r="AG36" t="s">
        <v>94</v>
      </c>
      <c r="AH36" t="s">
        <v>95</v>
      </c>
      <c r="AI36" t="s">
        <v>96</v>
      </c>
      <c r="AJ36" t="s">
        <v>97</v>
      </c>
      <c r="AK36">
        <v>0</v>
      </c>
      <c r="AL36">
        <v>0</v>
      </c>
      <c r="AM36">
        <v>0</v>
      </c>
      <c r="AN36" t="s">
        <v>192</v>
      </c>
      <c r="AO36" t="s">
        <v>82</v>
      </c>
      <c r="AP36" t="s">
        <v>99</v>
      </c>
      <c r="AQ36" t="s">
        <v>72</v>
      </c>
      <c r="AR36" t="s">
        <v>72</v>
      </c>
      <c r="AS36" t="s">
        <v>72</v>
      </c>
      <c r="AT36" t="s">
        <v>228</v>
      </c>
      <c r="AU36" t="s">
        <v>72</v>
      </c>
      <c r="AV36" t="s">
        <v>228</v>
      </c>
      <c r="AW36" t="s">
        <v>72</v>
      </c>
      <c r="AX36" t="s">
        <v>229</v>
      </c>
      <c r="AY36">
        <v>15.5852003</v>
      </c>
      <c r="AZ36">
        <v>131</v>
      </c>
      <c r="BA36">
        <v>0.64</v>
      </c>
      <c r="BB36">
        <v>460.16400149999998</v>
      </c>
      <c r="BC36">
        <v>-0.13846</v>
      </c>
      <c r="BD36">
        <v>0.19102</v>
      </c>
      <c r="BE36">
        <v>50</v>
      </c>
      <c r="BF36">
        <v>4.4956798999999998</v>
      </c>
      <c r="BG36">
        <v>0.44444499999999998</v>
      </c>
      <c r="BH36">
        <v>-1.27223</v>
      </c>
      <c r="BI36">
        <v>0.95165200000000005</v>
      </c>
      <c r="BJ36">
        <v>125</v>
      </c>
      <c r="BK36">
        <v>4</v>
      </c>
      <c r="BL36">
        <v>0</v>
      </c>
      <c r="BM36">
        <v>1892.8299560999999</v>
      </c>
      <c r="BN36">
        <v>4380.7797852000003</v>
      </c>
      <c r="BO36">
        <v>165.46600340000001</v>
      </c>
      <c r="BP36">
        <v>202</v>
      </c>
      <c r="BQ36">
        <v>5</v>
      </c>
      <c r="BR36">
        <v>7</v>
      </c>
    </row>
    <row r="37" spans="1:70" x14ac:dyDescent="0.25">
      <c r="A37">
        <v>35</v>
      </c>
      <c r="B37">
        <v>303</v>
      </c>
      <c r="C37">
        <v>88.425944000000001</v>
      </c>
      <c r="D37">
        <v>26.993666999999899</v>
      </c>
      <c r="E37" t="s">
        <v>230</v>
      </c>
      <c r="F37">
        <v>0</v>
      </c>
      <c r="G37" t="s">
        <v>72</v>
      </c>
      <c r="H37" t="s">
        <v>72</v>
      </c>
      <c r="I37" t="s">
        <v>72</v>
      </c>
      <c r="J37" t="s">
        <v>72</v>
      </c>
      <c r="K37">
        <v>20</v>
      </c>
      <c r="L37">
        <v>15</v>
      </c>
      <c r="M37">
        <v>20</v>
      </c>
      <c r="N37">
        <v>0</v>
      </c>
      <c r="O37" t="s">
        <v>72</v>
      </c>
      <c r="P37" t="s">
        <v>231</v>
      </c>
      <c r="Q37">
        <v>0</v>
      </c>
      <c r="R37" t="s">
        <v>72</v>
      </c>
      <c r="S37" t="s">
        <v>73</v>
      </c>
      <c r="T37" t="s">
        <v>74</v>
      </c>
      <c r="U37" t="s">
        <v>75</v>
      </c>
      <c r="V37" t="s">
        <v>72</v>
      </c>
      <c r="W37" t="s">
        <v>159</v>
      </c>
      <c r="X37" t="s">
        <v>77</v>
      </c>
      <c r="Y37">
        <v>0</v>
      </c>
      <c r="Z37" t="s">
        <v>72</v>
      </c>
      <c r="AA37" t="s">
        <v>72</v>
      </c>
      <c r="AB37" t="s">
        <v>72</v>
      </c>
      <c r="AC37" t="s">
        <v>72</v>
      </c>
      <c r="AD37" t="s">
        <v>232</v>
      </c>
      <c r="AE37">
        <v>0</v>
      </c>
      <c r="AF37" t="s">
        <v>79</v>
      </c>
      <c r="AG37" t="s">
        <v>94</v>
      </c>
      <c r="AH37" t="s">
        <v>72</v>
      </c>
      <c r="AI37" t="s">
        <v>96</v>
      </c>
      <c r="AJ37" t="s">
        <v>97</v>
      </c>
      <c r="AK37">
        <v>2015</v>
      </c>
      <c r="AL37">
        <v>0</v>
      </c>
      <c r="AM37">
        <v>0</v>
      </c>
      <c r="AN37" t="s">
        <v>233</v>
      </c>
      <c r="AO37" t="s">
        <v>82</v>
      </c>
      <c r="AP37" t="s">
        <v>83</v>
      </c>
      <c r="AQ37" t="s">
        <v>72</v>
      </c>
      <c r="AR37" t="s">
        <v>72</v>
      </c>
      <c r="AS37" t="s">
        <v>72</v>
      </c>
      <c r="AT37" t="s">
        <v>234</v>
      </c>
      <c r="AU37" t="s">
        <v>72</v>
      </c>
      <c r="AV37" t="s">
        <v>72</v>
      </c>
      <c r="AW37" t="s">
        <v>72</v>
      </c>
      <c r="AX37" t="s">
        <v>235</v>
      </c>
      <c r="AY37">
        <v>32.135898599999997</v>
      </c>
      <c r="AZ37">
        <v>70</v>
      </c>
      <c r="BA37">
        <v>1.92</v>
      </c>
      <c r="BB37">
        <v>448.12100220000002</v>
      </c>
      <c r="BC37">
        <v>-0.146371</v>
      </c>
      <c r="BD37">
        <v>0.19425300000000001</v>
      </c>
      <c r="BE37">
        <v>12.5</v>
      </c>
      <c r="BF37">
        <v>2.9906700000000002</v>
      </c>
      <c r="BG37">
        <v>0.45029200000000003</v>
      </c>
      <c r="BH37">
        <v>-7.3711099999999998</v>
      </c>
      <c r="BI37">
        <v>0.86641400000000002</v>
      </c>
      <c r="BJ37">
        <v>212.13200380000001</v>
      </c>
      <c r="BK37">
        <v>4</v>
      </c>
      <c r="BL37">
        <v>0</v>
      </c>
      <c r="BM37">
        <v>1691.6199951000001</v>
      </c>
      <c r="BN37">
        <v>4060.2700195000002</v>
      </c>
      <c r="BO37">
        <v>103.8150024</v>
      </c>
      <c r="BP37">
        <v>213</v>
      </c>
      <c r="BQ37">
        <v>5</v>
      </c>
      <c r="BR37">
        <v>7</v>
      </c>
    </row>
    <row r="38" spans="1:70" x14ac:dyDescent="0.25">
      <c r="A38">
        <v>36</v>
      </c>
      <c r="B38">
        <v>975</v>
      </c>
      <c r="C38">
        <v>88.425944000000001</v>
      </c>
      <c r="D38">
        <v>26.993666999999899</v>
      </c>
      <c r="E38" t="s">
        <v>236</v>
      </c>
      <c r="F38">
        <v>0</v>
      </c>
      <c r="G38" t="s">
        <v>72</v>
      </c>
      <c r="H38" t="s">
        <v>72</v>
      </c>
      <c r="I38" t="s">
        <v>72</v>
      </c>
      <c r="J38" t="s">
        <v>72</v>
      </c>
      <c r="K38">
        <v>30</v>
      </c>
      <c r="L38">
        <v>15</v>
      </c>
      <c r="M38">
        <v>30</v>
      </c>
      <c r="N38">
        <v>0</v>
      </c>
      <c r="O38" t="s">
        <v>89</v>
      </c>
      <c r="P38" t="s">
        <v>231</v>
      </c>
      <c r="Q38">
        <v>0</v>
      </c>
      <c r="R38" t="s">
        <v>72</v>
      </c>
      <c r="S38" t="s">
        <v>73</v>
      </c>
      <c r="T38" t="s">
        <v>74</v>
      </c>
      <c r="U38" t="s">
        <v>190</v>
      </c>
      <c r="V38" t="s">
        <v>72</v>
      </c>
      <c r="W38" t="s">
        <v>159</v>
      </c>
      <c r="X38" t="s">
        <v>77</v>
      </c>
      <c r="Y38">
        <v>0</v>
      </c>
      <c r="Z38" t="s">
        <v>72</v>
      </c>
      <c r="AA38" t="s">
        <v>72</v>
      </c>
      <c r="AB38" t="s">
        <v>72</v>
      </c>
      <c r="AC38" t="s">
        <v>72</v>
      </c>
      <c r="AD38" t="s">
        <v>232</v>
      </c>
      <c r="AE38">
        <v>0</v>
      </c>
      <c r="AF38" t="s">
        <v>79</v>
      </c>
      <c r="AG38" t="s">
        <v>94</v>
      </c>
      <c r="AH38" t="s">
        <v>72</v>
      </c>
      <c r="AI38" t="s">
        <v>96</v>
      </c>
      <c r="AJ38" t="s">
        <v>97</v>
      </c>
      <c r="AK38">
        <v>2015</v>
      </c>
      <c r="AL38">
        <v>0</v>
      </c>
      <c r="AM38">
        <v>0</v>
      </c>
      <c r="AN38" t="s">
        <v>233</v>
      </c>
      <c r="AO38" t="s">
        <v>82</v>
      </c>
      <c r="AP38" t="s">
        <v>83</v>
      </c>
      <c r="AQ38" t="s">
        <v>72</v>
      </c>
      <c r="AR38" t="s">
        <v>72</v>
      </c>
      <c r="AS38" t="s">
        <v>72</v>
      </c>
      <c r="AT38" t="s">
        <v>237</v>
      </c>
      <c r="AU38" t="s">
        <v>72</v>
      </c>
      <c r="AV38" t="s">
        <v>217</v>
      </c>
      <c r="AW38" t="s">
        <v>72</v>
      </c>
      <c r="AX38" t="s">
        <v>235</v>
      </c>
      <c r="AY38">
        <v>32.135898599999997</v>
      </c>
      <c r="AZ38">
        <v>70</v>
      </c>
      <c r="BA38">
        <v>1.92</v>
      </c>
      <c r="BB38">
        <v>448.12100220000002</v>
      </c>
      <c r="BC38">
        <v>-0.146371</v>
      </c>
      <c r="BD38">
        <v>0.19425300000000001</v>
      </c>
      <c r="BE38">
        <v>12.5</v>
      </c>
      <c r="BF38">
        <v>2.9906700000000002</v>
      </c>
      <c r="BG38">
        <v>0.45029200000000003</v>
      </c>
      <c r="BH38">
        <v>-7.3711099999999998</v>
      </c>
      <c r="BI38">
        <v>0.86641400000000002</v>
      </c>
      <c r="BJ38">
        <v>212.13200380000001</v>
      </c>
      <c r="BK38">
        <v>4</v>
      </c>
      <c r="BL38">
        <v>0</v>
      </c>
      <c r="BM38">
        <v>1691.6199951000001</v>
      </c>
      <c r="BN38">
        <v>4060.2700195000002</v>
      </c>
      <c r="BO38">
        <v>103.8150024</v>
      </c>
      <c r="BP38">
        <v>213</v>
      </c>
      <c r="BQ38">
        <v>5</v>
      </c>
      <c r="BR38">
        <v>7</v>
      </c>
    </row>
    <row r="39" spans="1:70" x14ac:dyDescent="0.25">
      <c r="A39">
        <v>37</v>
      </c>
      <c r="B39">
        <v>13412</v>
      </c>
      <c r="C39">
        <v>88.425944000000001</v>
      </c>
      <c r="D39">
        <v>26.993666999999899</v>
      </c>
      <c r="E39" t="s">
        <v>238</v>
      </c>
      <c r="F39">
        <v>2</v>
      </c>
      <c r="G39" t="s">
        <v>102</v>
      </c>
      <c r="H39" t="s">
        <v>72</v>
      </c>
      <c r="I39" t="s">
        <v>72</v>
      </c>
      <c r="J39" t="s">
        <v>189</v>
      </c>
      <c r="K39">
        <v>30</v>
      </c>
      <c r="L39">
        <v>15</v>
      </c>
      <c r="M39">
        <v>20</v>
      </c>
      <c r="N39">
        <v>450</v>
      </c>
      <c r="O39" t="s">
        <v>89</v>
      </c>
      <c r="P39" t="s">
        <v>72</v>
      </c>
      <c r="Q39">
        <v>900</v>
      </c>
      <c r="R39" t="s">
        <v>72</v>
      </c>
      <c r="S39" t="s">
        <v>73</v>
      </c>
      <c r="T39" t="s">
        <v>74</v>
      </c>
      <c r="U39" t="s">
        <v>190</v>
      </c>
      <c r="V39" t="s">
        <v>232</v>
      </c>
      <c r="W39" t="s">
        <v>159</v>
      </c>
      <c r="X39" t="s">
        <v>77</v>
      </c>
      <c r="Y39">
        <v>2015</v>
      </c>
      <c r="Z39" t="s">
        <v>72</v>
      </c>
      <c r="AA39" t="s">
        <v>72</v>
      </c>
      <c r="AB39" t="s">
        <v>72</v>
      </c>
      <c r="AC39" t="s">
        <v>72</v>
      </c>
      <c r="AD39" t="s">
        <v>239</v>
      </c>
      <c r="AE39">
        <v>0</v>
      </c>
      <c r="AF39" t="s">
        <v>79</v>
      </c>
      <c r="AG39" t="s">
        <v>94</v>
      </c>
      <c r="AH39" t="s">
        <v>95</v>
      </c>
      <c r="AI39" t="s">
        <v>96</v>
      </c>
      <c r="AJ39" t="s">
        <v>97</v>
      </c>
      <c r="AK39">
        <v>0</v>
      </c>
      <c r="AL39">
        <v>0</v>
      </c>
      <c r="AM39">
        <v>0</v>
      </c>
      <c r="AN39" t="s">
        <v>192</v>
      </c>
      <c r="AO39" t="s">
        <v>82</v>
      </c>
      <c r="AP39" t="s">
        <v>99</v>
      </c>
      <c r="AQ39" t="s">
        <v>72</v>
      </c>
      <c r="AR39" t="s">
        <v>72</v>
      </c>
      <c r="AS39" t="s">
        <v>72</v>
      </c>
      <c r="AT39" t="s">
        <v>176</v>
      </c>
      <c r="AU39" t="s">
        <v>72</v>
      </c>
      <c r="AV39" t="s">
        <v>217</v>
      </c>
      <c r="AW39" t="s">
        <v>72</v>
      </c>
      <c r="AX39" t="s">
        <v>72</v>
      </c>
      <c r="AY39">
        <v>32.135898599999997</v>
      </c>
      <c r="AZ39">
        <v>70</v>
      </c>
      <c r="BA39">
        <v>1.92</v>
      </c>
      <c r="BB39">
        <v>448.12100220000002</v>
      </c>
      <c r="BC39">
        <v>-0.146371</v>
      </c>
      <c r="BD39">
        <v>0.19425300000000001</v>
      </c>
      <c r="BE39">
        <v>12.5</v>
      </c>
      <c r="BF39">
        <v>2.9906700000000002</v>
      </c>
      <c r="BG39">
        <v>0.45029200000000003</v>
      </c>
      <c r="BH39">
        <v>-7.3711099999999998</v>
      </c>
      <c r="BI39">
        <v>0.86641400000000002</v>
      </c>
      <c r="BJ39">
        <v>212.13200380000001</v>
      </c>
      <c r="BK39">
        <v>4</v>
      </c>
      <c r="BL39">
        <v>0</v>
      </c>
      <c r="BM39">
        <v>1691.6199951000001</v>
      </c>
      <c r="BN39">
        <v>4060.2700195000002</v>
      </c>
      <c r="BO39">
        <v>103.8150024</v>
      </c>
      <c r="BP39">
        <v>213</v>
      </c>
      <c r="BQ39">
        <v>5</v>
      </c>
      <c r="BR39">
        <v>7</v>
      </c>
    </row>
    <row r="40" spans="1:70" x14ac:dyDescent="0.25">
      <c r="A40">
        <v>38</v>
      </c>
      <c r="B40">
        <v>12827</v>
      </c>
      <c r="C40">
        <v>88.426900000000003</v>
      </c>
      <c r="D40">
        <v>26.996400000000001</v>
      </c>
      <c r="E40" t="s">
        <v>240</v>
      </c>
      <c r="F40">
        <v>2</v>
      </c>
      <c r="G40" t="s">
        <v>112</v>
      </c>
      <c r="H40" t="s">
        <v>72</v>
      </c>
      <c r="I40" t="s">
        <v>72</v>
      </c>
      <c r="J40" t="s">
        <v>189</v>
      </c>
      <c r="K40">
        <v>50</v>
      </c>
      <c r="L40">
        <v>150</v>
      </c>
      <c r="M40">
        <v>40</v>
      </c>
      <c r="N40">
        <v>7500</v>
      </c>
      <c r="O40" t="s">
        <v>89</v>
      </c>
      <c r="P40" t="s">
        <v>72</v>
      </c>
      <c r="Q40">
        <v>15000</v>
      </c>
      <c r="R40" t="s">
        <v>72</v>
      </c>
      <c r="S40" t="s">
        <v>73</v>
      </c>
      <c r="T40" t="s">
        <v>74</v>
      </c>
      <c r="U40" t="s">
        <v>190</v>
      </c>
      <c r="V40" t="s">
        <v>241</v>
      </c>
      <c r="W40" t="s">
        <v>76</v>
      </c>
      <c r="X40" t="s">
        <v>77</v>
      </c>
      <c r="Y40">
        <v>2011</v>
      </c>
      <c r="Z40" t="s">
        <v>72</v>
      </c>
      <c r="AA40" t="s">
        <v>72</v>
      </c>
      <c r="AB40" t="s">
        <v>72</v>
      </c>
      <c r="AC40" t="s">
        <v>72</v>
      </c>
      <c r="AD40" t="s">
        <v>93</v>
      </c>
      <c r="AE40">
        <v>0</v>
      </c>
      <c r="AF40" t="s">
        <v>148</v>
      </c>
      <c r="AG40" t="s">
        <v>94</v>
      </c>
      <c r="AH40" t="s">
        <v>95</v>
      </c>
      <c r="AI40" t="s">
        <v>96</v>
      </c>
      <c r="AJ40" t="s">
        <v>97</v>
      </c>
      <c r="AK40">
        <v>0</v>
      </c>
      <c r="AL40">
        <v>0</v>
      </c>
      <c r="AM40">
        <v>0</v>
      </c>
      <c r="AN40" t="s">
        <v>192</v>
      </c>
      <c r="AO40" t="s">
        <v>82</v>
      </c>
      <c r="AP40" t="s">
        <v>99</v>
      </c>
      <c r="AQ40" t="s">
        <v>72</v>
      </c>
      <c r="AR40" t="s">
        <v>72</v>
      </c>
      <c r="AS40" t="s">
        <v>72</v>
      </c>
      <c r="AT40" t="s">
        <v>72</v>
      </c>
      <c r="AU40" t="s">
        <v>72</v>
      </c>
      <c r="AV40" t="s">
        <v>242</v>
      </c>
      <c r="AW40" t="s">
        <v>72</v>
      </c>
      <c r="AX40" t="s">
        <v>218</v>
      </c>
      <c r="AY40">
        <v>39.645599400000002</v>
      </c>
      <c r="AZ40">
        <v>36</v>
      </c>
      <c r="BA40">
        <v>-1.28</v>
      </c>
      <c r="BB40">
        <v>506.9620056</v>
      </c>
      <c r="BC40">
        <v>-0.130106</v>
      </c>
      <c r="BD40">
        <v>0.16494900000000001</v>
      </c>
      <c r="BE40">
        <v>12.5</v>
      </c>
      <c r="BF40">
        <v>4.0701399</v>
      </c>
      <c r="BG40">
        <v>0.44444499999999998</v>
      </c>
      <c r="BH40">
        <v>0.24940799999999999</v>
      </c>
      <c r="BI40">
        <v>0.73203600000000002</v>
      </c>
      <c r="BJ40">
        <v>35.355300900000003</v>
      </c>
      <c r="BK40">
        <v>4</v>
      </c>
      <c r="BL40">
        <v>0</v>
      </c>
      <c r="BM40">
        <v>1657.1800536999999</v>
      </c>
      <c r="BN40">
        <v>3895.8701172000001</v>
      </c>
      <c r="BO40">
        <v>162.4400024</v>
      </c>
      <c r="BP40">
        <v>219</v>
      </c>
      <c r="BQ40">
        <v>5</v>
      </c>
      <c r="BR40">
        <v>7</v>
      </c>
    </row>
    <row r="41" spans="1:70" x14ac:dyDescent="0.25">
      <c r="A41">
        <v>39</v>
      </c>
      <c r="B41">
        <v>13328</v>
      </c>
      <c r="C41">
        <v>88.426721999999899</v>
      </c>
      <c r="D41">
        <v>26.996444</v>
      </c>
      <c r="E41" t="s">
        <v>243</v>
      </c>
      <c r="F41">
        <v>1</v>
      </c>
      <c r="G41" t="s">
        <v>112</v>
      </c>
      <c r="H41" t="s">
        <v>72</v>
      </c>
      <c r="I41" t="s">
        <v>72</v>
      </c>
      <c r="J41" t="s">
        <v>189</v>
      </c>
      <c r="K41">
        <v>50</v>
      </c>
      <c r="L41">
        <v>60</v>
      </c>
      <c r="M41">
        <v>45</v>
      </c>
      <c r="N41">
        <v>3000</v>
      </c>
      <c r="O41" t="s">
        <v>89</v>
      </c>
      <c r="P41" t="s">
        <v>244</v>
      </c>
      <c r="Q41">
        <v>3000</v>
      </c>
      <c r="R41" t="s">
        <v>72</v>
      </c>
      <c r="S41" t="s">
        <v>73</v>
      </c>
      <c r="T41" t="s">
        <v>74</v>
      </c>
      <c r="U41" t="s">
        <v>190</v>
      </c>
      <c r="V41" t="s">
        <v>245</v>
      </c>
      <c r="W41" t="s">
        <v>76</v>
      </c>
      <c r="X41" t="s">
        <v>77</v>
      </c>
      <c r="Y41">
        <v>2015</v>
      </c>
      <c r="Z41" t="s">
        <v>72</v>
      </c>
      <c r="AA41" t="s">
        <v>72</v>
      </c>
      <c r="AB41" t="s">
        <v>72</v>
      </c>
      <c r="AC41" t="s">
        <v>72</v>
      </c>
      <c r="AD41" t="s">
        <v>245</v>
      </c>
      <c r="AE41">
        <v>0</v>
      </c>
      <c r="AF41" t="s">
        <v>148</v>
      </c>
      <c r="AG41" t="s">
        <v>94</v>
      </c>
      <c r="AH41" t="s">
        <v>95</v>
      </c>
      <c r="AI41" t="s">
        <v>150</v>
      </c>
      <c r="AJ41" t="s">
        <v>97</v>
      </c>
      <c r="AK41">
        <v>0</v>
      </c>
      <c r="AL41">
        <v>0</v>
      </c>
      <c r="AM41">
        <v>0</v>
      </c>
      <c r="AN41" t="s">
        <v>192</v>
      </c>
      <c r="AO41" t="s">
        <v>107</v>
      </c>
      <c r="AP41" t="s">
        <v>99</v>
      </c>
      <c r="AQ41" t="s">
        <v>72</v>
      </c>
      <c r="AR41" t="s">
        <v>72</v>
      </c>
      <c r="AS41" t="s">
        <v>72</v>
      </c>
      <c r="AT41" t="s">
        <v>176</v>
      </c>
      <c r="AU41" t="s">
        <v>72</v>
      </c>
      <c r="AV41" t="s">
        <v>217</v>
      </c>
      <c r="AW41" t="s">
        <v>72</v>
      </c>
      <c r="AX41" t="s">
        <v>246</v>
      </c>
      <c r="AY41">
        <v>41.442901599999999</v>
      </c>
      <c r="AZ41">
        <v>33</v>
      </c>
      <c r="BA41">
        <v>-0.64</v>
      </c>
      <c r="BB41">
        <v>506.9620056</v>
      </c>
      <c r="BC41">
        <v>-0.130106</v>
      </c>
      <c r="BD41">
        <v>0.16494900000000001</v>
      </c>
      <c r="BE41">
        <v>0</v>
      </c>
      <c r="BF41">
        <v>4.0365099999999998</v>
      </c>
      <c r="BG41">
        <v>0.47435899999999998</v>
      </c>
      <c r="BH41">
        <v>0.97558999999999996</v>
      </c>
      <c r="BI41">
        <v>0.72591700000000003</v>
      </c>
      <c r="BJ41">
        <v>35.355300900000003</v>
      </c>
      <c r="BK41">
        <v>4</v>
      </c>
      <c r="BL41">
        <v>0</v>
      </c>
      <c r="BM41">
        <v>1671.9200439000001</v>
      </c>
      <c r="BN41">
        <v>3905.1201172000001</v>
      </c>
      <c r="BO41">
        <v>166.90800479999999</v>
      </c>
      <c r="BP41">
        <v>222</v>
      </c>
      <c r="BQ41">
        <v>5</v>
      </c>
      <c r="BR41">
        <v>7</v>
      </c>
    </row>
    <row r="42" spans="1:70" x14ac:dyDescent="0.25">
      <c r="A42">
        <v>40</v>
      </c>
      <c r="B42">
        <v>720</v>
      </c>
      <c r="C42">
        <v>88.427306000000002</v>
      </c>
      <c r="D42">
        <v>26.996666999999899</v>
      </c>
      <c r="E42" t="s">
        <v>247</v>
      </c>
      <c r="F42">
        <v>0</v>
      </c>
      <c r="G42" t="s">
        <v>248</v>
      </c>
      <c r="H42" t="s">
        <v>249</v>
      </c>
      <c r="I42" t="s">
        <v>72</v>
      </c>
      <c r="J42" t="s">
        <v>72</v>
      </c>
      <c r="K42">
        <v>25</v>
      </c>
      <c r="L42">
        <v>15</v>
      </c>
      <c r="M42">
        <v>25</v>
      </c>
      <c r="N42">
        <v>0</v>
      </c>
      <c r="O42" t="s">
        <v>89</v>
      </c>
      <c r="P42" t="s">
        <v>72</v>
      </c>
      <c r="Q42">
        <v>0</v>
      </c>
      <c r="R42" t="s">
        <v>72</v>
      </c>
      <c r="S42" t="s">
        <v>73</v>
      </c>
      <c r="T42" t="s">
        <v>74</v>
      </c>
      <c r="U42" t="s">
        <v>190</v>
      </c>
      <c r="V42" t="s">
        <v>72</v>
      </c>
      <c r="W42" t="s">
        <v>159</v>
      </c>
      <c r="X42" t="s">
        <v>77</v>
      </c>
      <c r="Y42">
        <v>0</v>
      </c>
      <c r="Z42" t="s">
        <v>72</v>
      </c>
      <c r="AA42" t="s">
        <v>72</v>
      </c>
      <c r="AB42" t="s">
        <v>72</v>
      </c>
      <c r="AC42" t="s">
        <v>72</v>
      </c>
      <c r="AD42" t="s">
        <v>250</v>
      </c>
      <c r="AE42">
        <v>0</v>
      </c>
      <c r="AF42" t="s">
        <v>148</v>
      </c>
      <c r="AG42" t="s">
        <v>94</v>
      </c>
      <c r="AH42" t="s">
        <v>72</v>
      </c>
      <c r="AI42" t="s">
        <v>150</v>
      </c>
      <c r="AJ42" t="s">
        <v>97</v>
      </c>
      <c r="AK42">
        <v>2015</v>
      </c>
      <c r="AL42">
        <v>0</v>
      </c>
      <c r="AM42">
        <v>0</v>
      </c>
      <c r="AN42" t="s">
        <v>72</v>
      </c>
      <c r="AO42" t="s">
        <v>177</v>
      </c>
      <c r="AP42" t="s">
        <v>72</v>
      </c>
      <c r="AQ42" t="s">
        <v>72</v>
      </c>
      <c r="AR42" t="s">
        <v>72</v>
      </c>
      <c r="AS42" t="s">
        <v>72</v>
      </c>
      <c r="AT42" t="s">
        <v>237</v>
      </c>
      <c r="AU42" t="s">
        <v>72</v>
      </c>
      <c r="AV42" t="s">
        <v>251</v>
      </c>
      <c r="AW42" t="s">
        <v>72</v>
      </c>
      <c r="AX42" t="s">
        <v>252</v>
      </c>
      <c r="AY42">
        <v>33.854499799999999</v>
      </c>
      <c r="AZ42">
        <v>54</v>
      </c>
      <c r="BA42">
        <v>-1.28</v>
      </c>
      <c r="BB42">
        <v>506.9620056</v>
      </c>
      <c r="BC42">
        <v>-0.113582</v>
      </c>
      <c r="BD42">
        <v>0.14105999999999999</v>
      </c>
      <c r="BE42">
        <v>12.5</v>
      </c>
      <c r="BF42">
        <v>4.7167401</v>
      </c>
      <c r="BG42">
        <v>0.42029</v>
      </c>
      <c r="BH42">
        <v>1.21187</v>
      </c>
      <c r="BI42">
        <v>0.74046299999999998</v>
      </c>
      <c r="BJ42">
        <v>88.3883972</v>
      </c>
      <c r="BK42">
        <v>4</v>
      </c>
      <c r="BL42">
        <v>0</v>
      </c>
      <c r="BM42">
        <v>1627.8800048999999</v>
      </c>
      <c r="BN42">
        <v>3850.7299804999998</v>
      </c>
      <c r="BO42">
        <v>153.4349976</v>
      </c>
      <c r="BP42">
        <v>225</v>
      </c>
      <c r="BQ42">
        <v>5</v>
      </c>
      <c r="BR42">
        <v>7</v>
      </c>
    </row>
    <row r="43" spans="1:70" x14ac:dyDescent="0.25">
      <c r="A43">
        <v>41</v>
      </c>
      <c r="B43">
        <v>304</v>
      </c>
      <c r="C43">
        <v>88.427306000000002</v>
      </c>
      <c r="D43">
        <v>26.996666999999899</v>
      </c>
      <c r="E43" t="s">
        <v>253</v>
      </c>
      <c r="F43">
        <v>0</v>
      </c>
      <c r="G43" t="s">
        <v>248</v>
      </c>
      <c r="H43" t="s">
        <v>254</v>
      </c>
      <c r="I43" t="s">
        <v>72</v>
      </c>
      <c r="J43" t="s">
        <v>72</v>
      </c>
      <c r="K43">
        <v>20</v>
      </c>
      <c r="L43">
        <v>15</v>
      </c>
      <c r="M43">
        <v>20</v>
      </c>
      <c r="N43">
        <v>0</v>
      </c>
      <c r="O43" t="s">
        <v>72</v>
      </c>
      <c r="P43" t="s">
        <v>72</v>
      </c>
      <c r="Q43">
        <v>0</v>
      </c>
      <c r="R43" t="s">
        <v>72</v>
      </c>
      <c r="S43" t="s">
        <v>73</v>
      </c>
      <c r="T43" t="s">
        <v>74</v>
      </c>
      <c r="U43" t="s">
        <v>75</v>
      </c>
      <c r="V43" t="s">
        <v>72</v>
      </c>
      <c r="W43" t="s">
        <v>159</v>
      </c>
      <c r="X43" t="s">
        <v>77</v>
      </c>
      <c r="Y43">
        <v>0</v>
      </c>
      <c r="Z43" t="s">
        <v>72</v>
      </c>
      <c r="AA43" t="s">
        <v>72</v>
      </c>
      <c r="AB43" t="s">
        <v>72</v>
      </c>
      <c r="AC43" t="s">
        <v>72</v>
      </c>
      <c r="AD43" t="s">
        <v>255</v>
      </c>
      <c r="AE43">
        <v>0</v>
      </c>
      <c r="AF43" t="s">
        <v>148</v>
      </c>
      <c r="AG43" t="s">
        <v>94</v>
      </c>
      <c r="AH43" t="s">
        <v>72</v>
      </c>
      <c r="AI43" t="s">
        <v>150</v>
      </c>
      <c r="AJ43" t="s">
        <v>97</v>
      </c>
      <c r="AK43">
        <v>2015</v>
      </c>
      <c r="AL43">
        <v>0</v>
      </c>
      <c r="AM43">
        <v>0</v>
      </c>
      <c r="AN43" t="s">
        <v>72</v>
      </c>
      <c r="AO43" t="s">
        <v>82</v>
      </c>
      <c r="AP43" t="s">
        <v>72</v>
      </c>
      <c r="AQ43" t="s">
        <v>72</v>
      </c>
      <c r="AR43" t="s">
        <v>72</v>
      </c>
      <c r="AS43" t="s">
        <v>72</v>
      </c>
      <c r="AT43" t="s">
        <v>84</v>
      </c>
      <c r="AU43" t="s">
        <v>72</v>
      </c>
      <c r="AV43" t="s">
        <v>72</v>
      </c>
      <c r="AW43" t="s">
        <v>72</v>
      </c>
      <c r="AX43" t="s">
        <v>252</v>
      </c>
      <c r="AY43">
        <v>33.854499799999999</v>
      </c>
      <c r="AZ43">
        <v>54</v>
      </c>
      <c r="BA43">
        <v>-1.28</v>
      </c>
      <c r="BB43">
        <v>506.9620056</v>
      </c>
      <c r="BC43">
        <v>-0.113582</v>
      </c>
      <c r="BD43">
        <v>0.14105999999999999</v>
      </c>
      <c r="BE43">
        <v>12.5</v>
      </c>
      <c r="BF43">
        <v>4.7167401</v>
      </c>
      <c r="BG43">
        <v>0.42029</v>
      </c>
      <c r="BH43">
        <v>1.21187</v>
      </c>
      <c r="BI43">
        <v>0.74046299999999998</v>
      </c>
      <c r="BJ43">
        <v>88.3883972</v>
      </c>
      <c r="BK43">
        <v>4</v>
      </c>
      <c r="BL43">
        <v>0</v>
      </c>
      <c r="BM43">
        <v>1627.8800048999999</v>
      </c>
      <c r="BN43">
        <v>3850.7299804999998</v>
      </c>
      <c r="BO43">
        <v>153.4349976</v>
      </c>
      <c r="BP43">
        <v>225</v>
      </c>
      <c r="BQ43">
        <v>5</v>
      </c>
      <c r="BR43">
        <v>7</v>
      </c>
    </row>
    <row r="44" spans="1:70" x14ac:dyDescent="0.25">
      <c r="A44">
        <v>42</v>
      </c>
      <c r="B44">
        <v>13008</v>
      </c>
      <c r="C44">
        <v>88.429528000000005</v>
      </c>
      <c r="D44">
        <v>26.997119000000001</v>
      </c>
      <c r="E44" t="s">
        <v>256</v>
      </c>
      <c r="F44">
        <v>1</v>
      </c>
      <c r="G44" t="s">
        <v>102</v>
      </c>
      <c r="H44" t="s">
        <v>72</v>
      </c>
      <c r="I44" t="s">
        <v>72</v>
      </c>
      <c r="J44" t="s">
        <v>189</v>
      </c>
      <c r="K44">
        <v>10</v>
      </c>
      <c r="L44">
        <v>10</v>
      </c>
      <c r="M44">
        <v>8</v>
      </c>
      <c r="N44">
        <v>100</v>
      </c>
      <c r="O44" t="s">
        <v>89</v>
      </c>
      <c r="P44" t="s">
        <v>72</v>
      </c>
      <c r="Q44">
        <v>100</v>
      </c>
      <c r="R44" t="s">
        <v>72</v>
      </c>
      <c r="S44" t="s">
        <v>73</v>
      </c>
      <c r="T44" t="s">
        <v>74</v>
      </c>
      <c r="U44" t="s">
        <v>190</v>
      </c>
      <c r="V44" t="s">
        <v>257</v>
      </c>
      <c r="W44" t="s">
        <v>76</v>
      </c>
      <c r="X44" t="s">
        <v>77</v>
      </c>
      <c r="Y44">
        <v>1998</v>
      </c>
      <c r="Z44" t="s">
        <v>72</v>
      </c>
      <c r="AA44" t="s">
        <v>72</v>
      </c>
      <c r="AB44" t="s">
        <v>72</v>
      </c>
      <c r="AC44" t="s">
        <v>72</v>
      </c>
      <c r="AD44" t="s">
        <v>72</v>
      </c>
      <c r="AE44">
        <v>0</v>
      </c>
      <c r="AF44" t="s">
        <v>79</v>
      </c>
      <c r="AG44" t="s">
        <v>94</v>
      </c>
      <c r="AH44" t="s">
        <v>95</v>
      </c>
      <c r="AI44" t="s">
        <v>96</v>
      </c>
      <c r="AJ44" t="s">
        <v>97</v>
      </c>
      <c r="AK44">
        <v>0</v>
      </c>
      <c r="AL44">
        <v>0</v>
      </c>
      <c r="AM44">
        <v>0</v>
      </c>
      <c r="AN44" t="s">
        <v>192</v>
      </c>
      <c r="AO44" t="s">
        <v>82</v>
      </c>
      <c r="AP44" t="s">
        <v>99</v>
      </c>
      <c r="AQ44" t="s">
        <v>72</v>
      </c>
      <c r="AR44" t="s">
        <v>72</v>
      </c>
      <c r="AS44" t="s">
        <v>72</v>
      </c>
      <c r="AT44" t="s">
        <v>258</v>
      </c>
      <c r="AU44" t="s">
        <v>72</v>
      </c>
      <c r="AV44" t="s">
        <v>72</v>
      </c>
      <c r="AW44" t="s">
        <v>72</v>
      </c>
      <c r="AX44" t="s">
        <v>259</v>
      </c>
      <c r="AY44">
        <v>33.346000699999998</v>
      </c>
      <c r="AZ44">
        <v>63</v>
      </c>
      <c r="BA44">
        <v>-1.92</v>
      </c>
      <c r="BB44">
        <v>469.00698849999998</v>
      </c>
      <c r="BC44">
        <v>-0.11243</v>
      </c>
      <c r="BD44">
        <v>0.12909100000000001</v>
      </c>
      <c r="BE44">
        <v>79.056899999999999</v>
      </c>
      <c r="BF44">
        <v>6.7508998</v>
      </c>
      <c r="BG44">
        <v>0.49444399999999999</v>
      </c>
      <c r="BH44">
        <v>3.3672198999999998</v>
      </c>
      <c r="BI44">
        <v>0.80617499999999997</v>
      </c>
      <c r="BJ44">
        <v>287.5</v>
      </c>
      <c r="BK44">
        <v>4</v>
      </c>
      <c r="BL44">
        <v>12.279800399999999</v>
      </c>
      <c r="BM44">
        <v>1414.2099608999999</v>
      </c>
      <c r="BN44">
        <v>3620.2600097999998</v>
      </c>
      <c r="BO44">
        <v>163.21699520000001</v>
      </c>
      <c r="BP44">
        <v>188</v>
      </c>
      <c r="BQ44">
        <v>5</v>
      </c>
      <c r="BR44">
        <v>7</v>
      </c>
    </row>
    <row r="45" spans="1:70" x14ac:dyDescent="0.25">
      <c r="A45">
        <v>43</v>
      </c>
      <c r="B45">
        <v>313</v>
      </c>
      <c r="C45">
        <v>88.431583000000003</v>
      </c>
      <c r="D45">
        <v>26.998805999999899</v>
      </c>
      <c r="E45" t="s">
        <v>260</v>
      </c>
      <c r="F45">
        <v>0</v>
      </c>
      <c r="G45" t="s">
        <v>261</v>
      </c>
      <c r="H45" t="s">
        <v>72</v>
      </c>
      <c r="I45" t="s">
        <v>72</v>
      </c>
      <c r="J45" t="s">
        <v>72</v>
      </c>
      <c r="K45">
        <v>150</v>
      </c>
      <c r="L45">
        <v>150</v>
      </c>
      <c r="M45">
        <v>150</v>
      </c>
      <c r="N45">
        <v>0</v>
      </c>
      <c r="O45" t="s">
        <v>72</v>
      </c>
      <c r="P45" t="s">
        <v>262</v>
      </c>
      <c r="Q45">
        <v>0</v>
      </c>
      <c r="R45" t="s">
        <v>72</v>
      </c>
      <c r="S45" t="s">
        <v>73</v>
      </c>
      <c r="T45" t="s">
        <v>74</v>
      </c>
      <c r="U45" t="s">
        <v>75</v>
      </c>
      <c r="V45" t="s">
        <v>72</v>
      </c>
      <c r="W45" t="s">
        <v>159</v>
      </c>
      <c r="X45" t="s">
        <v>77</v>
      </c>
      <c r="Y45">
        <v>0</v>
      </c>
      <c r="Z45" t="s">
        <v>72</v>
      </c>
      <c r="AA45" t="s">
        <v>72</v>
      </c>
      <c r="AB45" t="s">
        <v>72</v>
      </c>
      <c r="AC45" t="s">
        <v>72</v>
      </c>
      <c r="AD45" t="s">
        <v>263</v>
      </c>
      <c r="AE45">
        <v>0</v>
      </c>
      <c r="AF45" t="s">
        <v>148</v>
      </c>
      <c r="AG45" t="s">
        <v>94</v>
      </c>
      <c r="AH45" t="s">
        <v>72</v>
      </c>
      <c r="AI45" t="s">
        <v>150</v>
      </c>
      <c r="AJ45" t="s">
        <v>97</v>
      </c>
      <c r="AK45">
        <v>2015</v>
      </c>
      <c r="AL45">
        <v>0</v>
      </c>
      <c r="AM45">
        <v>0</v>
      </c>
      <c r="AN45" t="s">
        <v>233</v>
      </c>
      <c r="AO45" t="s">
        <v>82</v>
      </c>
      <c r="AP45" t="s">
        <v>83</v>
      </c>
      <c r="AQ45" t="s">
        <v>72</v>
      </c>
      <c r="AR45" t="s">
        <v>72</v>
      </c>
      <c r="AS45" t="s">
        <v>72</v>
      </c>
      <c r="AT45" t="s">
        <v>264</v>
      </c>
      <c r="AU45" t="s">
        <v>72</v>
      </c>
      <c r="AV45" t="s">
        <v>72</v>
      </c>
      <c r="AW45" t="s">
        <v>72</v>
      </c>
      <c r="AX45" t="s">
        <v>265</v>
      </c>
      <c r="AY45">
        <v>20.2430992</v>
      </c>
      <c r="AZ45">
        <v>116</v>
      </c>
      <c r="BA45">
        <v>0.64</v>
      </c>
      <c r="BB45">
        <v>512.08599849999996</v>
      </c>
      <c r="BC45">
        <v>-0.103891</v>
      </c>
      <c r="BD45">
        <v>0.147008</v>
      </c>
      <c r="BE45">
        <v>37.5</v>
      </c>
      <c r="BF45">
        <v>6.6602702000000003</v>
      </c>
      <c r="BG45">
        <v>0.51515100000000003</v>
      </c>
      <c r="BH45">
        <v>2.26492</v>
      </c>
      <c r="BI45">
        <v>0.830318</v>
      </c>
      <c r="BJ45">
        <v>475</v>
      </c>
      <c r="BK45">
        <v>4</v>
      </c>
      <c r="BL45">
        <v>21.6159</v>
      </c>
      <c r="BM45">
        <v>1249.8100586</v>
      </c>
      <c r="BN45">
        <v>3385.5600586</v>
      </c>
      <c r="BO45">
        <v>167.47099299999999</v>
      </c>
      <c r="BP45">
        <v>261</v>
      </c>
      <c r="BQ45">
        <v>5</v>
      </c>
      <c r="BR45">
        <v>7</v>
      </c>
    </row>
    <row r="46" spans="1:70" x14ac:dyDescent="0.25">
      <c r="A46">
        <v>44</v>
      </c>
      <c r="B46">
        <v>802</v>
      </c>
      <c r="C46">
        <v>88.431556</v>
      </c>
      <c r="D46">
        <v>26.9990279999999</v>
      </c>
      <c r="E46" t="s">
        <v>266</v>
      </c>
      <c r="F46">
        <v>30</v>
      </c>
      <c r="G46" t="s">
        <v>267</v>
      </c>
      <c r="H46" t="s">
        <v>268</v>
      </c>
      <c r="I46" t="s">
        <v>72</v>
      </c>
      <c r="J46" t="s">
        <v>72</v>
      </c>
      <c r="K46">
        <v>400</v>
      </c>
      <c r="L46">
        <v>500</v>
      </c>
      <c r="M46">
        <v>400</v>
      </c>
      <c r="N46">
        <v>0</v>
      </c>
      <c r="O46" t="s">
        <v>89</v>
      </c>
      <c r="P46" t="s">
        <v>269</v>
      </c>
      <c r="Q46">
        <v>0</v>
      </c>
      <c r="R46" t="s">
        <v>72</v>
      </c>
      <c r="S46" t="s">
        <v>73</v>
      </c>
      <c r="T46" t="s">
        <v>74</v>
      </c>
      <c r="U46" t="s">
        <v>90</v>
      </c>
      <c r="V46" t="s">
        <v>72</v>
      </c>
      <c r="W46" t="s">
        <v>76</v>
      </c>
      <c r="X46" t="s">
        <v>77</v>
      </c>
      <c r="Y46">
        <v>2012</v>
      </c>
      <c r="Z46" t="s">
        <v>72</v>
      </c>
      <c r="AA46" t="s">
        <v>72</v>
      </c>
      <c r="AB46" t="s">
        <v>72</v>
      </c>
      <c r="AC46" t="s">
        <v>72</v>
      </c>
      <c r="AD46" t="s">
        <v>270</v>
      </c>
      <c r="AE46">
        <v>0</v>
      </c>
      <c r="AF46" t="s">
        <v>148</v>
      </c>
      <c r="AG46" t="s">
        <v>94</v>
      </c>
      <c r="AH46" t="s">
        <v>95</v>
      </c>
      <c r="AI46" t="s">
        <v>150</v>
      </c>
      <c r="AJ46" t="s">
        <v>97</v>
      </c>
      <c r="AK46">
        <v>0</v>
      </c>
      <c r="AL46">
        <v>0</v>
      </c>
      <c r="AM46">
        <v>0</v>
      </c>
      <c r="AN46" t="s">
        <v>271</v>
      </c>
      <c r="AO46" t="s">
        <v>82</v>
      </c>
      <c r="AP46" t="s">
        <v>272</v>
      </c>
      <c r="AQ46" t="s">
        <v>72</v>
      </c>
      <c r="AR46" t="s">
        <v>72</v>
      </c>
      <c r="AS46" t="s">
        <v>72</v>
      </c>
      <c r="AT46" t="s">
        <v>273</v>
      </c>
      <c r="AU46" t="s">
        <v>72</v>
      </c>
      <c r="AV46" t="s">
        <v>217</v>
      </c>
      <c r="AW46" t="s">
        <v>72</v>
      </c>
      <c r="AX46" t="s">
        <v>274</v>
      </c>
      <c r="AY46">
        <v>22.7707996</v>
      </c>
      <c r="AZ46">
        <v>107</v>
      </c>
      <c r="BA46">
        <v>-2.5599999000000002</v>
      </c>
      <c r="BB46">
        <v>512.08599849999996</v>
      </c>
      <c r="BC46">
        <v>-0.114921</v>
      </c>
      <c r="BD46">
        <v>0.14105000000000001</v>
      </c>
      <c r="BE46">
        <v>62.5</v>
      </c>
      <c r="BF46">
        <v>6.7130898999999999</v>
      </c>
      <c r="BG46">
        <v>0.461538</v>
      </c>
      <c r="BH46">
        <v>2.0420799000000001</v>
      </c>
      <c r="BI46">
        <v>0.825295</v>
      </c>
      <c r="BJ46">
        <v>500</v>
      </c>
      <c r="BK46">
        <v>4</v>
      </c>
      <c r="BL46">
        <v>21.6159</v>
      </c>
      <c r="BM46">
        <v>1253.5600586</v>
      </c>
      <c r="BN46">
        <v>3380.9399414</v>
      </c>
      <c r="BO46">
        <v>167.6190033</v>
      </c>
      <c r="BP46">
        <v>269</v>
      </c>
      <c r="BQ46">
        <v>5</v>
      </c>
      <c r="BR46">
        <v>7</v>
      </c>
    </row>
    <row r="47" spans="1:70" x14ac:dyDescent="0.25">
      <c r="A47">
        <v>45</v>
      </c>
      <c r="B47">
        <v>12984</v>
      </c>
      <c r="C47">
        <v>88.431342999999899</v>
      </c>
      <c r="D47">
        <v>26.999586999999899</v>
      </c>
      <c r="E47" t="s">
        <v>275</v>
      </c>
      <c r="F47">
        <v>4</v>
      </c>
      <c r="G47" t="s">
        <v>276</v>
      </c>
      <c r="H47" t="s">
        <v>72</v>
      </c>
      <c r="I47" t="s">
        <v>72</v>
      </c>
      <c r="J47" t="s">
        <v>189</v>
      </c>
      <c r="K47">
        <v>375</v>
      </c>
      <c r="L47">
        <v>100</v>
      </c>
      <c r="M47">
        <v>175</v>
      </c>
      <c r="N47">
        <v>37500</v>
      </c>
      <c r="O47" t="s">
        <v>89</v>
      </c>
      <c r="P47" t="s">
        <v>72</v>
      </c>
      <c r="Q47">
        <v>150000</v>
      </c>
      <c r="R47" t="s">
        <v>72</v>
      </c>
      <c r="S47" t="s">
        <v>73</v>
      </c>
      <c r="T47" t="s">
        <v>74</v>
      </c>
      <c r="U47" t="s">
        <v>190</v>
      </c>
      <c r="V47" t="s">
        <v>277</v>
      </c>
      <c r="W47" t="s">
        <v>92</v>
      </c>
      <c r="X47" t="s">
        <v>77</v>
      </c>
      <c r="Y47">
        <v>1998</v>
      </c>
      <c r="Z47" t="s">
        <v>72</v>
      </c>
      <c r="AA47" t="s">
        <v>72</v>
      </c>
      <c r="AB47" t="s">
        <v>72</v>
      </c>
      <c r="AC47" t="s">
        <v>72</v>
      </c>
      <c r="AD47" t="s">
        <v>72</v>
      </c>
      <c r="AE47">
        <v>0</v>
      </c>
      <c r="AF47" t="s">
        <v>148</v>
      </c>
      <c r="AG47" t="s">
        <v>94</v>
      </c>
      <c r="AH47" t="s">
        <v>95</v>
      </c>
      <c r="AI47" t="s">
        <v>150</v>
      </c>
      <c r="AJ47" t="s">
        <v>97</v>
      </c>
      <c r="AK47">
        <v>0</v>
      </c>
      <c r="AL47">
        <v>0</v>
      </c>
      <c r="AM47">
        <v>0</v>
      </c>
      <c r="AN47" t="s">
        <v>192</v>
      </c>
      <c r="AO47" t="s">
        <v>82</v>
      </c>
      <c r="AP47" t="s">
        <v>114</v>
      </c>
      <c r="AQ47" t="s">
        <v>72</v>
      </c>
      <c r="AR47" t="s">
        <v>72</v>
      </c>
      <c r="AS47" t="s">
        <v>72</v>
      </c>
      <c r="AT47" t="s">
        <v>278</v>
      </c>
      <c r="AU47" t="s">
        <v>72</v>
      </c>
      <c r="AV47" t="s">
        <v>279</v>
      </c>
      <c r="AW47" t="s">
        <v>72</v>
      </c>
      <c r="AX47" t="s">
        <v>280</v>
      </c>
      <c r="AY47">
        <v>27.413600899999999</v>
      </c>
      <c r="AZ47">
        <v>85</v>
      </c>
      <c r="BA47">
        <v>0</v>
      </c>
      <c r="BB47">
        <v>563.40801999999996</v>
      </c>
      <c r="BC47">
        <v>-0.125162</v>
      </c>
      <c r="BD47">
        <v>0.14101</v>
      </c>
      <c r="BE47">
        <v>125</v>
      </c>
      <c r="BF47">
        <v>4.7916898999999997</v>
      </c>
      <c r="BG47">
        <v>0.52287600000000001</v>
      </c>
      <c r="BH47">
        <v>0.73194899999999996</v>
      </c>
      <c r="BI47">
        <v>0.80522700000000003</v>
      </c>
      <c r="BJ47">
        <v>562.5</v>
      </c>
      <c r="BK47">
        <v>4</v>
      </c>
      <c r="BL47">
        <v>21.6159</v>
      </c>
      <c r="BM47">
        <v>1288.7099608999999</v>
      </c>
      <c r="BN47">
        <v>3394.8500976999999</v>
      </c>
      <c r="BO47">
        <v>160.8659973</v>
      </c>
      <c r="BP47">
        <v>298</v>
      </c>
      <c r="BQ47">
        <v>5</v>
      </c>
      <c r="BR47">
        <v>7</v>
      </c>
    </row>
    <row r="48" spans="1:70" x14ac:dyDescent="0.25">
      <c r="A48">
        <v>46</v>
      </c>
      <c r="B48">
        <v>10481</v>
      </c>
      <c r="C48">
        <v>88.430300000000003</v>
      </c>
      <c r="D48">
        <v>27.001999999999899</v>
      </c>
      <c r="E48" t="s">
        <v>281</v>
      </c>
      <c r="F48">
        <v>1</v>
      </c>
      <c r="G48" t="s">
        <v>112</v>
      </c>
      <c r="H48" t="s">
        <v>72</v>
      </c>
      <c r="I48" t="s">
        <v>72</v>
      </c>
      <c r="J48" t="s">
        <v>88</v>
      </c>
      <c r="K48">
        <v>297</v>
      </c>
      <c r="L48">
        <v>230</v>
      </c>
      <c r="M48">
        <v>200</v>
      </c>
      <c r="N48">
        <v>68310</v>
      </c>
      <c r="O48" t="s">
        <v>89</v>
      </c>
      <c r="P48" t="s">
        <v>72</v>
      </c>
      <c r="Q48">
        <v>68310</v>
      </c>
      <c r="R48" t="s">
        <v>72</v>
      </c>
      <c r="S48" t="s">
        <v>73</v>
      </c>
      <c r="T48" t="s">
        <v>74</v>
      </c>
      <c r="U48" t="s">
        <v>90</v>
      </c>
      <c r="V48" t="s">
        <v>282</v>
      </c>
      <c r="W48" t="s">
        <v>76</v>
      </c>
      <c r="X48" t="s">
        <v>77</v>
      </c>
      <c r="Y48">
        <v>2013</v>
      </c>
      <c r="Z48" t="s">
        <v>72</v>
      </c>
      <c r="AA48" t="s">
        <v>72</v>
      </c>
      <c r="AB48" t="s">
        <v>72</v>
      </c>
      <c r="AC48" t="s">
        <v>72</v>
      </c>
      <c r="AD48" t="s">
        <v>282</v>
      </c>
      <c r="AE48">
        <v>0</v>
      </c>
      <c r="AF48" t="s">
        <v>79</v>
      </c>
      <c r="AG48" t="s">
        <v>94</v>
      </c>
      <c r="AH48" t="s">
        <v>95</v>
      </c>
      <c r="AI48" t="s">
        <v>80</v>
      </c>
      <c r="AJ48" t="s">
        <v>113</v>
      </c>
      <c r="AK48">
        <v>2016</v>
      </c>
      <c r="AL48">
        <v>0</v>
      </c>
      <c r="AM48">
        <v>0</v>
      </c>
      <c r="AN48" t="s">
        <v>192</v>
      </c>
      <c r="AO48" t="s">
        <v>72</v>
      </c>
      <c r="AP48" t="s">
        <v>114</v>
      </c>
      <c r="AQ48" t="s">
        <v>72</v>
      </c>
      <c r="AR48" t="s">
        <v>72</v>
      </c>
      <c r="AS48" t="s">
        <v>72</v>
      </c>
      <c r="AT48" t="s">
        <v>72</v>
      </c>
      <c r="AU48" t="s">
        <v>72</v>
      </c>
      <c r="AV48" t="s">
        <v>72</v>
      </c>
      <c r="AW48" t="s">
        <v>72</v>
      </c>
      <c r="AX48" t="s">
        <v>72</v>
      </c>
      <c r="AY48">
        <v>40.703201300000003</v>
      </c>
      <c r="AZ48">
        <v>20</v>
      </c>
      <c r="BA48">
        <v>-1.28</v>
      </c>
      <c r="BB48">
        <v>571.60900879999997</v>
      </c>
      <c r="BC48">
        <v>-0.171157</v>
      </c>
      <c r="BD48">
        <v>0.199684</v>
      </c>
      <c r="BE48">
        <v>397.256012</v>
      </c>
      <c r="BF48">
        <v>4.0815802000000003</v>
      </c>
      <c r="BG48">
        <v>0.48888999999999999</v>
      </c>
      <c r="BH48">
        <v>0.93057199999999995</v>
      </c>
      <c r="BI48">
        <v>0.71162300000000001</v>
      </c>
      <c r="BJ48">
        <v>630.59997559999999</v>
      </c>
      <c r="BK48">
        <v>4</v>
      </c>
      <c r="BL48">
        <v>0</v>
      </c>
      <c r="BM48">
        <v>1432.3299560999999</v>
      </c>
      <c r="BN48">
        <v>3461.9599609000002</v>
      </c>
      <c r="BO48">
        <v>144.4620056</v>
      </c>
      <c r="BP48">
        <v>526</v>
      </c>
      <c r="BQ48">
        <v>5</v>
      </c>
      <c r="BR48">
        <v>7</v>
      </c>
    </row>
    <row r="49" spans="1:70" x14ac:dyDescent="0.25">
      <c r="A49">
        <v>47</v>
      </c>
      <c r="B49">
        <v>10592</v>
      </c>
      <c r="C49">
        <v>88.440580999999895</v>
      </c>
      <c r="D49">
        <v>27.0029369999999</v>
      </c>
      <c r="E49" t="s">
        <v>283</v>
      </c>
      <c r="F49">
        <v>5</v>
      </c>
      <c r="G49" t="s">
        <v>87</v>
      </c>
      <c r="H49" t="s">
        <v>72</v>
      </c>
      <c r="I49" t="s">
        <v>72</v>
      </c>
      <c r="J49" t="s">
        <v>88</v>
      </c>
      <c r="K49">
        <v>400</v>
      </c>
      <c r="L49">
        <v>300</v>
      </c>
      <c r="M49">
        <v>200</v>
      </c>
      <c r="N49">
        <v>120000</v>
      </c>
      <c r="O49" t="s">
        <v>105</v>
      </c>
      <c r="P49" t="s">
        <v>72</v>
      </c>
      <c r="Q49">
        <v>600000</v>
      </c>
      <c r="R49" t="s">
        <v>72</v>
      </c>
      <c r="S49" t="s">
        <v>73</v>
      </c>
      <c r="T49" t="s">
        <v>74</v>
      </c>
      <c r="U49" t="s">
        <v>90</v>
      </c>
      <c r="V49" t="s">
        <v>284</v>
      </c>
      <c r="W49" t="s">
        <v>76</v>
      </c>
      <c r="X49" t="s">
        <v>145</v>
      </c>
      <c r="Y49">
        <v>2006</v>
      </c>
      <c r="Z49" t="s">
        <v>72</v>
      </c>
      <c r="AA49" t="s">
        <v>72</v>
      </c>
      <c r="AB49" t="s">
        <v>72</v>
      </c>
      <c r="AC49" t="s">
        <v>72</v>
      </c>
      <c r="AD49" t="s">
        <v>285</v>
      </c>
      <c r="AE49">
        <v>0</v>
      </c>
      <c r="AF49" t="s">
        <v>186</v>
      </c>
      <c r="AG49" t="s">
        <v>94</v>
      </c>
      <c r="AH49" t="s">
        <v>95</v>
      </c>
      <c r="AI49" t="s">
        <v>121</v>
      </c>
      <c r="AJ49" t="s">
        <v>113</v>
      </c>
      <c r="AK49">
        <v>0</v>
      </c>
      <c r="AL49">
        <v>0</v>
      </c>
      <c r="AM49">
        <v>0</v>
      </c>
      <c r="AN49" t="s">
        <v>181</v>
      </c>
      <c r="AO49" t="s">
        <v>82</v>
      </c>
      <c r="AP49" t="s">
        <v>114</v>
      </c>
      <c r="AQ49" t="s">
        <v>72</v>
      </c>
      <c r="AR49" t="s">
        <v>72</v>
      </c>
      <c r="AS49" t="s">
        <v>72</v>
      </c>
      <c r="AT49" t="s">
        <v>72</v>
      </c>
      <c r="AU49" t="s">
        <v>72</v>
      </c>
      <c r="AV49" t="s">
        <v>72</v>
      </c>
      <c r="AW49" t="s">
        <v>72</v>
      </c>
      <c r="AX49" t="s">
        <v>72</v>
      </c>
      <c r="AY49">
        <v>19.2973003</v>
      </c>
      <c r="AZ49">
        <v>129</v>
      </c>
      <c r="BA49">
        <v>0.64</v>
      </c>
      <c r="BB49">
        <v>345.40100100000001</v>
      </c>
      <c r="BC49">
        <v>-0.17421800000000001</v>
      </c>
      <c r="BD49">
        <v>0.219441</v>
      </c>
      <c r="BE49">
        <v>88.3883972</v>
      </c>
      <c r="BF49">
        <v>6.3477302</v>
      </c>
      <c r="BG49">
        <v>0.53086299999999997</v>
      </c>
      <c r="BH49">
        <v>1.6615500000000001</v>
      </c>
      <c r="BI49">
        <v>1.0487299999999999</v>
      </c>
      <c r="BJ49">
        <v>238.81199649999999</v>
      </c>
      <c r="BK49">
        <v>4</v>
      </c>
      <c r="BL49">
        <v>45.639198299999997</v>
      </c>
      <c r="BM49">
        <v>456.20700069999998</v>
      </c>
      <c r="BN49">
        <v>2442.9099120999999</v>
      </c>
      <c r="BO49">
        <v>181.63699339999999</v>
      </c>
      <c r="BP49">
        <v>241</v>
      </c>
      <c r="BQ49">
        <v>5</v>
      </c>
      <c r="BR49">
        <v>6</v>
      </c>
    </row>
    <row r="50" spans="1:70" x14ac:dyDescent="0.25">
      <c r="A50">
        <v>48</v>
      </c>
      <c r="B50">
        <v>10200</v>
      </c>
      <c r="C50">
        <v>88.440031000000005</v>
      </c>
      <c r="D50">
        <v>27.003917999999899</v>
      </c>
      <c r="E50" t="s">
        <v>286</v>
      </c>
      <c r="F50">
        <v>5</v>
      </c>
      <c r="G50" t="s">
        <v>87</v>
      </c>
      <c r="H50" t="s">
        <v>72</v>
      </c>
      <c r="I50" t="s">
        <v>72</v>
      </c>
      <c r="J50" t="s">
        <v>88</v>
      </c>
      <c r="K50">
        <v>400</v>
      </c>
      <c r="L50">
        <v>300</v>
      </c>
      <c r="M50">
        <v>200</v>
      </c>
      <c r="N50">
        <v>120000</v>
      </c>
      <c r="O50" t="s">
        <v>89</v>
      </c>
      <c r="P50" t="s">
        <v>72</v>
      </c>
      <c r="Q50">
        <v>600000</v>
      </c>
      <c r="R50" t="s">
        <v>72</v>
      </c>
      <c r="S50" t="s">
        <v>73</v>
      </c>
      <c r="T50" t="s">
        <v>74</v>
      </c>
      <c r="U50" t="s">
        <v>90</v>
      </c>
      <c r="V50" t="s">
        <v>284</v>
      </c>
      <c r="W50" t="s">
        <v>76</v>
      </c>
      <c r="X50" t="s">
        <v>145</v>
      </c>
      <c r="Y50">
        <v>2006</v>
      </c>
      <c r="Z50" t="s">
        <v>72</v>
      </c>
      <c r="AA50" t="s">
        <v>72</v>
      </c>
      <c r="AB50" t="s">
        <v>72</v>
      </c>
      <c r="AC50" t="s">
        <v>72</v>
      </c>
      <c r="AD50" t="s">
        <v>285</v>
      </c>
      <c r="AE50">
        <v>0</v>
      </c>
      <c r="AF50" t="s">
        <v>186</v>
      </c>
      <c r="AG50" t="s">
        <v>94</v>
      </c>
      <c r="AH50" t="s">
        <v>95</v>
      </c>
      <c r="AI50" t="s">
        <v>121</v>
      </c>
      <c r="AJ50" t="s">
        <v>113</v>
      </c>
      <c r="AK50">
        <v>0</v>
      </c>
      <c r="AL50">
        <v>0</v>
      </c>
      <c r="AM50">
        <v>0</v>
      </c>
      <c r="AN50" t="s">
        <v>72</v>
      </c>
      <c r="AO50" t="s">
        <v>82</v>
      </c>
      <c r="AP50" t="s">
        <v>72</v>
      </c>
      <c r="AQ50" t="s">
        <v>72</v>
      </c>
      <c r="AR50" t="s">
        <v>72</v>
      </c>
      <c r="AS50" t="s">
        <v>72</v>
      </c>
      <c r="AT50" t="s">
        <v>287</v>
      </c>
      <c r="AU50" t="s">
        <v>72</v>
      </c>
      <c r="AV50" t="s">
        <v>288</v>
      </c>
      <c r="AW50" t="s">
        <v>72</v>
      </c>
      <c r="AX50" t="s">
        <v>289</v>
      </c>
      <c r="AY50">
        <v>25.7665997</v>
      </c>
      <c r="AZ50">
        <v>95</v>
      </c>
      <c r="BA50">
        <v>-0.64</v>
      </c>
      <c r="BB50">
        <v>389.60501099999999</v>
      </c>
      <c r="BC50">
        <v>-0.13832700000000001</v>
      </c>
      <c r="BD50">
        <v>0.18409300000000001</v>
      </c>
      <c r="BE50">
        <v>12.5</v>
      </c>
      <c r="BF50">
        <v>5.8342900000000002</v>
      </c>
      <c r="BG50">
        <v>0.51587300000000003</v>
      </c>
      <c r="BH50">
        <v>1.7434799999999999</v>
      </c>
      <c r="BI50">
        <v>1.0303800000000001</v>
      </c>
      <c r="BJ50">
        <v>344.8280029</v>
      </c>
      <c r="BK50">
        <v>4</v>
      </c>
      <c r="BL50">
        <v>43.385101300000002</v>
      </c>
      <c r="BM50">
        <v>524.70202640000002</v>
      </c>
      <c r="BN50">
        <v>2488.2900390999998</v>
      </c>
      <c r="BO50">
        <v>166.82699579999999</v>
      </c>
      <c r="BP50">
        <v>288</v>
      </c>
      <c r="BQ50">
        <v>5</v>
      </c>
      <c r="BR50">
        <v>7</v>
      </c>
    </row>
    <row r="51" spans="1:70" x14ac:dyDescent="0.25">
      <c r="A51">
        <v>49</v>
      </c>
      <c r="B51">
        <v>423</v>
      </c>
      <c r="C51">
        <v>88.441000000000003</v>
      </c>
      <c r="D51">
        <v>27.004000000000001</v>
      </c>
      <c r="E51" t="s">
        <v>290</v>
      </c>
      <c r="F51">
        <v>0</v>
      </c>
      <c r="G51" t="s">
        <v>291</v>
      </c>
      <c r="H51" t="s">
        <v>72</v>
      </c>
      <c r="I51" t="s">
        <v>72</v>
      </c>
      <c r="J51" t="s">
        <v>72</v>
      </c>
      <c r="K51">
        <v>150</v>
      </c>
      <c r="L51">
        <v>50</v>
      </c>
      <c r="M51">
        <v>150</v>
      </c>
      <c r="N51">
        <v>0</v>
      </c>
      <c r="O51" t="s">
        <v>89</v>
      </c>
      <c r="P51" t="s">
        <v>292</v>
      </c>
      <c r="Q51">
        <v>0</v>
      </c>
      <c r="R51" t="s">
        <v>72</v>
      </c>
      <c r="S51" t="s">
        <v>73</v>
      </c>
      <c r="T51" t="s">
        <v>74</v>
      </c>
      <c r="U51" t="s">
        <v>90</v>
      </c>
      <c r="V51" t="s">
        <v>72</v>
      </c>
      <c r="W51" t="s">
        <v>76</v>
      </c>
      <c r="X51" t="s">
        <v>145</v>
      </c>
      <c r="Y51">
        <v>0</v>
      </c>
      <c r="Z51" t="s">
        <v>72</v>
      </c>
      <c r="AA51" t="s">
        <v>72</v>
      </c>
      <c r="AB51" t="s">
        <v>72</v>
      </c>
      <c r="AC51" t="s">
        <v>72</v>
      </c>
      <c r="AD51" t="s">
        <v>93</v>
      </c>
      <c r="AE51">
        <v>0</v>
      </c>
      <c r="AF51" t="s">
        <v>79</v>
      </c>
      <c r="AG51" t="s">
        <v>94</v>
      </c>
      <c r="AH51" t="s">
        <v>72</v>
      </c>
      <c r="AI51" t="s">
        <v>121</v>
      </c>
      <c r="AJ51" t="s">
        <v>72</v>
      </c>
      <c r="AK51">
        <v>0</v>
      </c>
      <c r="AL51">
        <v>0</v>
      </c>
      <c r="AM51">
        <v>0</v>
      </c>
      <c r="AN51" t="s">
        <v>72</v>
      </c>
      <c r="AO51" t="s">
        <v>72</v>
      </c>
      <c r="AP51" t="s">
        <v>72</v>
      </c>
      <c r="AQ51" t="s">
        <v>72</v>
      </c>
      <c r="AR51" t="s">
        <v>72</v>
      </c>
      <c r="AS51" t="s">
        <v>72</v>
      </c>
      <c r="AT51" t="s">
        <v>72</v>
      </c>
      <c r="AU51" t="s">
        <v>72</v>
      </c>
      <c r="AV51" t="s">
        <v>293</v>
      </c>
      <c r="AW51" t="s">
        <v>72</v>
      </c>
      <c r="AX51" t="s">
        <v>294</v>
      </c>
      <c r="AY51">
        <v>23.716699599999998</v>
      </c>
      <c r="AZ51">
        <v>104</v>
      </c>
      <c r="BA51">
        <v>0.64</v>
      </c>
      <c r="BB51">
        <v>370.89898679999999</v>
      </c>
      <c r="BC51">
        <v>-0.11662</v>
      </c>
      <c r="BD51">
        <v>0.151007</v>
      </c>
      <c r="BE51">
        <v>0</v>
      </c>
      <c r="BF51">
        <v>5.4276999999999997</v>
      </c>
      <c r="BG51">
        <v>0.52136700000000002</v>
      </c>
      <c r="BH51">
        <v>1.1257900000000001</v>
      </c>
      <c r="BI51">
        <v>1.0385200000000001</v>
      </c>
      <c r="BJ51">
        <v>291.81500240000003</v>
      </c>
      <c r="BK51">
        <v>4</v>
      </c>
      <c r="BL51">
        <v>43.385101300000002</v>
      </c>
      <c r="BM51">
        <v>440.34799190000001</v>
      </c>
      <c r="BN51">
        <v>2400.5200195000002</v>
      </c>
      <c r="BO51">
        <v>168.17900090000001</v>
      </c>
      <c r="BP51">
        <v>281</v>
      </c>
      <c r="BQ51">
        <v>5</v>
      </c>
      <c r="BR51">
        <v>7</v>
      </c>
    </row>
    <row r="52" spans="1:70" x14ac:dyDescent="0.25">
      <c r="A52">
        <v>50</v>
      </c>
      <c r="B52">
        <v>10932</v>
      </c>
      <c r="C52">
        <v>88.443168</v>
      </c>
      <c r="D52">
        <v>27.005317000000002</v>
      </c>
      <c r="E52" t="s">
        <v>295</v>
      </c>
      <c r="F52">
        <v>5</v>
      </c>
      <c r="G52" t="s">
        <v>87</v>
      </c>
      <c r="H52" t="s">
        <v>72</v>
      </c>
      <c r="I52" t="s">
        <v>72</v>
      </c>
      <c r="J52" t="s">
        <v>88</v>
      </c>
      <c r="K52">
        <v>200</v>
      </c>
      <c r="L52">
        <v>50</v>
      </c>
      <c r="M52">
        <v>150</v>
      </c>
      <c r="N52">
        <v>10000</v>
      </c>
      <c r="O52" t="s">
        <v>89</v>
      </c>
      <c r="P52" t="s">
        <v>72</v>
      </c>
      <c r="Q52">
        <v>50000</v>
      </c>
      <c r="R52" t="s">
        <v>72</v>
      </c>
      <c r="S52" t="s">
        <v>73</v>
      </c>
      <c r="T52" t="s">
        <v>74</v>
      </c>
      <c r="U52" t="s">
        <v>90</v>
      </c>
      <c r="V52" t="s">
        <v>296</v>
      </c>
      <c r="W52" t="s">
        <v>159</v>
      </c>
      <c r="X52" t="s">
        <v>145</v>
      </c>
      <c r="Y52">
        <v>2011</v>
      </c>
      <c r="Z52" t="s">
        <v>72</v>
      </c>
      <c r="AA52" t="s">
        <v>72</v>
      </c>
      <c r="AB52" t="s">
        <v>72</v>
      </c>
      <c r="AC52" t="s">
        <v>72</v>
      </c>
      <c r="AD52" t="s">
        <v>93</v>
      </c>
      <c r="AE52">
        <v>0</v>
      </c>
      <c r="AF52" t="s">
        <v>79</v>
      </c>
      <c r="AG52" t="s">
        <v>94</v>
      </c>
      <c r="AH52" t="s">
        <v>95</v>
      </c>
      <c r="AI52" t="s">
        <v>121</v>
      </c>
      <c r="AJ52" t="s">
        <v>113</v>
      </c>
      <c r="AK52">
        <v>0</v>
      </c>
      <c r="AL52">
        <v>0</v>
      </c>
      <c r="AM52">
        <v>0</v>
      </c>
      <c r="AN52" t="s">
        <v>192</v>
      </c>
      <c r="AO52" t="s">
        <v>82</v>
      </c>
      <c r="AP52" t="s">
        <v>99</v>
      </c>
      <c r="AQ52" t="s">
        <v>72</v>
      </c>
      <c r="AR52" t="s">
        <v>72</v>
      </c>
      <c r="AS52" t="s">
        <v>72</v>
      </c>
      <c r="AT52" t="s">
        <v>72</v>
      </c>
      <c r="AU52" t="s">
        <v>72</v>
      </c>
      <c r="AV52" t="s">
        <v>72</v>
      </c>
      <c r="AW52" t="s">
        <v>72</v>
      </c>
      <c r="AX52" t="s">
        <v>100</v>
      </c>
      <c r="AY52">
        <v>22.347400700000001</v>
      </c>
      <c r="AZ52">
        <v>114</v>
      </c>
      <c r="BA52">
        <v>-0.64</v>
      </c>
      <c r="BB52">
        <v>389.84899899999999</v>
      </c>
      <c r="BC52">
        <v>-0.142737</v>
      </c>
      <c r="BD52">
        <v>0.19625699999999999</v>
      </c>
      <c r="BE52">
        <v>72.886901899999998</v>
      </c>
      <c r="BF52">
        <v>6.5501499000000001</v>
      </c>
      <c r="BG52">
        <v>0.51851899999999995</v>
      </c>
      <c r="BH52">
        <v>2.2045900999999999</v>
      </c>
      <c r="BI52">
        <v>1.0185900000000001</v>
      </c>
      <c r="BJ52">
        <v>247.4869995</v>
      </c>
      <c r="BK52">
        <v>4</v>
      </c>
      <c r="BL52">
        <v>49.193500499999999</v>
      </c>
      <c r="BM52">
        <v>254.95100400000001</v>
      </c>
      <c r="BN52">
        <v>2189.7800293</v>
      </c>
      <c r="BO52">
        <v>94.184898399999994</v>
      </c>
      <c r="BP52">
        <v>229</v>
      </c>
      <c r="BQ52">
        <v>5</v>
      </c>
      <c r="BR52">
        <v>7</v>
      </c>
    </row>
    <row r="53" spans="1:70" x14ac:dyDescent="0.25">
      <c r="A53">
        <v>51</v>
      </c>
      <c r="B53">
        <v>10229</v>
      </c>
      <c r="C53">
        <v>88.442306000000002</v>
      </c>
      <c r="D53">
        <v>27.0056669999999</v>
      </c>
      <c r="E53" t="s">
        <v>297</v>
      </c>
      <c r="F53">
        <v>1</v>
      </c>
      <c r="G53" t="s">
        <v>102</v>
      </c>
      <c r="H53" t="s">
        <v>72</v>
      </c>
      <c r="I53" t="s">
        <v>72</v>
      </c>
      <c r="J53" t="s">
        <v>88</v>
      </c>
      <c r="K53">
        <v>50</v>
      </c>
      <c r="L53">
        <v>10</v>
      </c>
      <c r="M53">
        <v>30</v>
      </c>
      <c r="N53">
        <v>500</v>
      </c>
      <c r="O53" t="s">
        <v>89</v>
      </c>
      <c r="P53" t="s">
        <v>72</v>
      </c>
      <c r="Q53">
        <v>500</v>
      </c>
      <c r="R53" t="s">
        <v>72</v>
      </c>
      <c r="S53" t="s">
        <v>73</v>
      </c>
      <c r="T53" t="s">
        <v>74</v>
      </c>
      <c r="U53" t="s">
        <v>90</v>
      </c>
      <c r="V53" t="s">
        <v>109</v>
      </c>
      <c r="W53" t="s">
        <v>76</v>
      </c>
      <c r="X53" t="s">
        <v>77</v>
      </c>
      <c r="Y53">
        <v>2015</v>
      </c>
      <c r="Z53" t="s">
        <v>72</v>
      </c>
      <c r="AA53" t="s">
        <v>72</v>
      </c>
      <c r="AB53" t="s">
        <v>72</v>
      </c>
      <c r="AC53" t="s">
        <v>72</v>
      </c>
      <c r="AD53" t="s">
        <v>109</v>
      </c>
      <c r="AE53">
        <v>20</v>
      </c>
      <c r="AF53" t="s">
        <v>79</v>
      </c>
      <c r="AG53" t="s">
        <v>94</v>
      </c>
      <c r="AH53" t="s">
        <v>95</v>
      </c>
      <c r="AI53" t="s">
        <v>96</v>
      </c>
      <c r="AJ53" t="s">
        <v>97</v>
      </c>
      <c r="AK53">
        <v>0</v>
      </c>
      <c r="AL53">
        <v>0</v>
      </c>
      <c r="AM53">
        <v>0</v>
      </c>
      <c r="AN53" t="s">
        <v>192</v>
      </c>
      <c r="AO53" t="s">
        <v>82</v>
      </c>
      <c r="AP53" t="s">
        <v>99</v>
      </c>
      <c r="AQ53" t="s">
        <v>72</v>
      </c>
      <c r="AR53" t="s">
        <v>72</v>
      </c>
      <c r="AS53" t="s">
        <v>72</v>
      </c>
      <c r="AT53" t="s">
        <v>72</v>
      </c>
      <c r="AU53" t="s">
        <v>72</v>
      </c>
      <c r="AV53" t="s">
        <v>72</v>
      </c>
      <c r="AW53" t="s">
        <v>72</v>
      </c>
      <c r="AX53" t="s">
        <v>103</v>
      </c>
      <c r="AY53">
        <v>25.504600499999999</v>
      </c>
      <c r="AZ53">
        <v>86</v>
      </c>
      <c r="BA53">
        <v>-0.64</v>
      </c>
      <c r="BB53">
        <v>389.84899899999999</v>
      </c>
      <c r="BC53">
        <v>-0.12903800000000001</v>
      </c>
      <c r="BD53">
        <v>0.17244699999999999</v>
      </c>
      <c r="BE53">
        <v>12.5</v>
      </c>
      <c r="BF53">
        <v>6.3417000999999997</v>
      </c>
      <c r="BG53">
        <v>0.50694499999999998</v>
      </c>
      <c r="BH53">
        <v>2.4995200999999998</v>
      </c>
      <c r="BI53">
        <v>1.00586</v>
      </c>
      <c r="BJ53">
        <v>327.15600590000003</v>
      </c>
      <c r="BK53">
        <v>4</v>
      </c>
      <c r="BL53">
        <v>44.248600000000003</v>
      </c>
      <c r="BM53">
        <v>336.57299799999998</v>
      </c>
      <c r="BN53">
        <v>2266.6699219000002</v>
      </c>
      <c r="BO53">
        <v>123.0240021</v>
      </c>
      <c r="BP53">
        <v>272</v>
      </c>
      <c r="BQ53">
        <v>5</v>
      </c>
      <c r="BR53">
        <v>7</v>
      </c>
    </row>
    <row r="54" spans="1:70" x14ac:dyDescent="0.25">
      <c r="A54">
        <v>52</v>
      </c>
      <c r="B54">
        <v>10487</v>
      </c>
      <c r="C54">
        <v>88.425139000000001</v>
      </c>
      <c r="D54">
        <v>27.0116669999999</v>
      </c>
      <c r="E54" t="s">
        <v>298</v>
      </c>
      <c r="F54">
        <v>1</v>
      </c>
      <c r="G54" t="s">
        <v>162</v>
      </c>
      <c r="H54" t="s">
        <v>72</v>
      </c>
      <c r="I54" t="s">
        <v>72</v>
      </c>
      <c r="J54" t="s">
        <v>88</v>
      </c>
      <c r="K54">
        <v>50</v>
      </c>
      <c r="L54">
        <v>50</v>
      </c>
      <c r="M54">
        <v>30</v>
      </c>
      <c r="N54">
        <v>2500</v>
      </c>
      <c r="O54" t="s">
        <v>89</v>
      </c>
      <c r="P54" t="s">
        <v>72</v>
      </c>
      <c r="Q54">
        <v>2500</v>
      </c>
      <c r="R54" t="s">
        <v>72</v>
      </c>
      <c r="S54" t="s">
        <v>73</v>
      </c>
      <c r="T54" t="s">
        <v>74</v>
      </c>
      <c r="U54" t="s">
        <v>90</v>
      </c>
      <c r="V54" t="s">
        <v>72</v>
      </c>
      <c r="W54" t="s">
        <v>299</v>
      </c>
      <c r="X54" t="s">
        <v>77</v>
      </c>
      <c r="Y54">
        <v>2015</v>
      </c>
      <c r="Z54" t="s">
        <v>72</v>
      </c>
      <c r="AA54" t="s">
        <v>72</v>
      </c>
      <c r="AB54" t="s">
        <v>72</v>
      </c>
      <c r="AC54" t="s">
        <v>72</v>
      </c>
      <c r="AD54" t="s">
        <v>300</v>
      </c>
      <c r="AE54">
        <v>0</v>
      </c>
      <c r="AF54" t="s">
        <v>79</v>
      </c>
      <c r="AG54" t="s">
        <v>94</v>
      </c>
      <c r="AH54" t="s">
        <v>95</v>
      </c>
      <c r="AI54" t="s">
        <v>210</v>
      </c>
      <c r="AJ54" t="s">
        <v>97</v>
      </c>
      <c r="AK54">
        <v>0</v>
      </c>
      <c r="AL54">
        <v>0</v>
      </c>
      <c r="AM54">
        <v>0</v>
      </c>
      <c r="AN54" t="s">
        <v>98</v>
      </c>
      <c r="AO54" t="s">
        <v>72</v>
      </c>
      <c r="AP54" t="s">
        <v>114</v>
      </c>
      <c r="AQ54" t="s">
        <v>72</v>
      </c>
      <c r="AR54" t="s">
        <v>72</v>
      </c>
      <c r="AS54" t="s">
        <v>72</v>
      </c>
      <c r="AT54" t="s">
        <v>72</v>
      </c>
      <c r="AU54" t="s">
        <v>72</v>
      </c>
      <c r="AV54" t="s">
        <v>72</v>
      </c>
      <c r="AW54" t="s">
        <v>72</v>
      </c>
      <c r="AX54" t="s">
        <v>72</v>
      </c>
      <c r="AY54">
        <v>28.629899999999999</v>
      </c>
      <c r="AZ54">
        <v>106</v>
      </c>
      <c r="BA54">
        <v>0</v>
      </c>
      <c r="BB54">
        <v>521.14001459999997</v>
      </c>
      <c r="BC54">
        <v>-0.194442</v>
      </c>
      <c r="BD54">
        <v>0.21673100000000001</v>
      </c>
      <c r="BE54">
        <v>0</v>
      </c>
      <c r="BF54">
        <v>4.7404999999999999</v>
      </c>
      <c r="BG54">
        <v>0.51851800000000003</v>
      </c>
      <c r="BH54">
        <v>0.78304399999999996</v>
      </c>
      <c r="BI54">
        <v>0.284964</v>
      </c>
      <c r="BJ54">
        <v>1214.1099853999999</v>
      </c>
      <c r="BK54">
        <v>4</v>
      </c>
      <c r="BL54">
        <v>20.802400599999999</v>
      </c>
      <c r="BM54">
        <v>929.12902829999996</v>
      </c>
      <c r="BN54">
        <v>4052.2600097999998</v>
      </c>
      <c r="BO54">
        <v>81.572997999999998</v>
      </c>
      <c r="BP54">
        <v>751</v>
      </c>
      <c r="BQ54">
        <v>6</v>
      </c>
      <c r="BR54">
        <v>7</v>
      </c>
    </row>
    <row r="55" spans="1:70" x14ac:dyDescent="0.25">
      <c r="A55">
        <v>53</v>
      </c>
      <c r="B55">
        <v>10230</v>
      </c>
      <c r="C55">
        <v>88.435721999999899</v>
      </c>
      <c r="D55">
        <v>27.013750000000002</v>
      </c>
      <c r="E55" t="s">
        <v>301</v>
      </c>
      <c r="F55">
        <v>1</v>
      </c>
      <c r="G55" t="s">
        <v>102</v>
      </c>
      <c r="H55" t="s">
        <v>72</v>
      </c>
      <c r="I55" t="s">
        <v>72</v>
      </c>
      <c r="J55" t="s">
        <v>88</v>
      </c>
      <c r="K55">
        <v>20</v>
      </c>
      <c r="L55">
        <v>10</v>
      </c>
      <c r="M55">
        <v>15</v>
      </c>
      <c r="N55">
        <v>200</v>
      </c>
      <c r="O55" t="s">
        <v>89</v>
      </c>
      <c r="P55" t="s">
        <v>72</v>
      </c>
      <c r="Q55">
        <v>200</v>
      </c>
      <c r="R55" t="s">
        <v>72</v>
      </c>
      <c r="S55" t="s">
        <v>73</v>
      </c>
      <c r="T55" t="s">
        <v>74</v>
      </c>
      <c r="U55" t="s">
        <v>90</v>
      </c>
      <c r="V55" t="s">
        <v>109</v>
      </c>
      <c r="W55" t="s">
        <v>208</v>
      </c>
      <c r="X55" t="s">
        <v>77</v>
      </c>
      <c r="Y55">
        <v>2014</v>
      </c>
      <c r="Z55" t="s">
        <v>72</v>
      </c>
      <c r="AA55" t="s">
        <v>72</v>
      </c>
      <c r="AB55" t="s">
        <v>72</v>
      </c>
      <c r="AC55" t="s">
        <v>72</v>
      </c>
      <c r="AD55" t="s">
        <v>109</v>
      </c>
      <c r="AE55">
        <v>5</v>
      </c>
      <c r="AF55" t="s">
        <v>79</v>
      </c>
      <c r="AG55" t="s">
        <v>94</v>
      </c>
      <c r="AH55" t="s">
        <v>95</v>
      </c>
      <c r="AI55" t="s">
        <v>96</v>
      </c>
      <c r="AJ55" t="s">
        <v>97</v>
      </c>
      <c r="AK55">
        <v>0</v>
      </c>
      <c r="AL55">
        <v>0</v>
      </c>
      <c r="AM55">
        <v>0</v>
      </c>
      <c r="AN55" t="s">
        <v>98</v>
      </c>
      <c r="AO55" t="s">
        <v>82</v>
      </c>
      <c r="AP55" t="s">
        <v>99</v>
      </c>
      <c r="AQ55" t="s">
        <v>72</v>
      </c>
      <c r="AR55" t="s">
        <v>72</v>
      </c>
      <c r="AS55" t="s">
        <v>72</v>
      </c>
      <c r="AT55" t="s">
        <v>72</v>
      </c>
      <c r="AU55" t="s">
        <v>72</v>
      </c>
      <c r="AV55" t="s">
        <v>72</v>
      </c>
      <c r="AW55" t="s">
        <v>72</v>
      </c>
      <c r="AX55" t="s">
        <v>103</v>
      </c>
      <c r="AY55">
        <v>23.9339008</v>
      </c>
      <c r="AZ55">
        <v>101</v>
      </c>
      <c r="BA55">
        <v>-1.28</v>
      </c>
      <c r="BB55">
        <v>501.71701050000001</v>
      </c>
      <c r="BC55">
        <v>-0.140512</v>
      </c>
      <c r="BD55">
        <v>0.16203200000000001</v>
      </c>
      <c r="BE55">
        <v>12.5</v>
      </c>
      <c r="BF55">
        <v>6.3337402000000003</v>
      </c>
      <c r="BG55">
        <v>0.504274</v>
      </c>
      <c r="BH55">
        <v>2.1344699999999999</v>
      </c>
      <c r="BI55">
        <v>0.72682999999999998</v>
      </c>
      <c r="BJ55">
        <v>265.1650085</v>
      </c>
      <c r="BK55">
        <v>4</v>
      </c>
      <c r="BL55">
        <v>22.3495998</v>
      </c>
      <c r="BM55">
        <v>1010.1099854</v>
      </c>
      <c r="BN55">
        <v>3111.1899414</v>
      </c>
      <c r="BO55">
        <v>104.34899900000001</v>
      </c>
      <c r="BP55">
        <v>236</v>
      </c>
      <c r="BQ55">
        <v>5</v>
      </c>
      <c r="BR55">
        <v>7</v>
      </c>
    </row>
    <row r="56" spans="1:70" x14ac:dyDescent="0.25">
      <c r="A56">
        <v>54</v>
      </c>
      <c r="B56">
        <v>10570</v>
      </c>
      <c r="C56">
        <v>88.436708999999894</v>
      </c>
      <c r="D56">
        <v>27.013739000000001</v>
      </c>
      <c r="E56" t="s">
        <v>302</v>
      </c>
      <c r="F56">
        <v>5</v>
      </c>
      <c r="G56" t="s">
        <v>102</v>
      </c>
      <c r="H56" t="s">
        <v>72</v>
      </c>
      <c r="I56" t="s">
        <v>72</v>
      </c>
      <c r="J56" t="s">
        <v>88</v>
      </c>
      <c r="K56">
        <v>150</v>
      </c>
      <c r="L56">
        <v>60</v>
      </c>
      <c r="M56">
        <v>100</v>
      </c>
      <c r="N56">
        <v>9000</v>
      </c>
      <c r="O56" t="s">
        <v>89</v>
      </c>
      <c r="P56" t="s">
        <v>72</v>
      </c>
      <c r="Q56">
        <v>45000</v>
      </c>
      <c r="R56" t="s">
        <v>72</v>
      </c>
      <c r="S56" t="s">
        <v>73</v>
      </c>
      <c r="T56" t="s">
        <v>74</v>
      </c>
      <c r="U56" t="s">
        <v>90</v>
      </c>
      <c r="V56" t="s">
        <v>303</v>
      </c>
      <c r="W56" t="s">
        <v>76</v>
      </c>
      <c r="X56" t="s">
        <v>77</v>
      </c>
      <c r="Y56">
        <v>2007</v>
      </c>
      <c r="Z56" t="s">
        <v>72</v>
      </c>
      <c r="AA56" t="s">
        <v>72</v>
      </c>
      <c r="AB56" t="s">
        <v>72</v>
      </c>
      <c r="AC56" t="s">
        <v>72</v>
      </c>
      <c r="AD56" t="s">
        <v>304</v>
      </c>
      <c r="AE56">
        <v>0</v>
      </c>
      <c r="AF56" t="s">
        <v>186</v>
      </c>
      <c r="AG56" t="s">
        <v>94</v>
      </c>
      <c r="AH56" t="s">
        <v>95</v>
      </c>
      <c r="AI56" t="s">
        <v>96</v>
      </c>
      <c r="AJ56" t="s">
        <v>97</v>
      </c>
      <c r="AK56">
        <v>0</v>
      </c>
      <c r="AL56">
        <v>0</v>
      </c>
      <c r="AM56">
        <v>0</v>
      </c>
      <c r="AN56" t="s">
        <v>98</v>
      </c>
      <c r="AO56" t="s">
        <v>72</v>
      </c>
      <c r="AP56" t="s">
        <v>99</v>
      </c>
      <c r="AQ56" t="s">
        <v>72</v>
      </c>
      <c r="AR56" t="s">
        <v>72</v>
      </c>
      <c r="AS56" t="s">
        <v>72</v>
      </c>
      <c r="AT56" t="s">
        <v>305</v>
      </c>
      <c r="AU56" t="s">
        <v>72</v>
      </c>
      <c r="AV56" t="s">
        <v>306</v>
      </c>
      <c r="AW56" t="s">
        <v>72</v>
      </c>
      <c r="AX56" t="s">
        <v>307</v>
      </c>
      <c r="AY56">
        <v>25.028099099999999</v>
      </c>
      <c r="AZ56">
        <v>165</v>
      </c>
      <c r="BA56">
        <v>1.28</v>
      </c>
      <c r="BB56">
        <v>501.71701050000001</v>
      </c>
      <c r="BC56">
        <v>-0.121382</v>
      </c>
      <c r="BD56">
        <v>0.16753699999999999</v>
      </c>
      <c r="BE56">
        <v>37.5</v>
      </c>
      <c r="BF56">
        <v>3.9805100000000002</v>
      </c>
      <c r="BG56">
        <v>0.56209200000000004</v>
      </c>
      <c r="BH56">
        <v>-0.75849100000000003</v>
      </c>
      <c r="BI56">
        <v>0.74101499999999998</v>
      </c>
      <c r="BJ56">
        <v>194.4539948</v>
      </c>
      <c r="BK56">
        <v>4</v>
      </c>
      <c r="BL56">
        <v>22.323699999999999</v>
      </c>
      <c r="BM56">
        <v>1054.3100586</v>
      </c>
      <c r="BN56">
        <v>3016.9599609000002</v>
      </c>
      <c r="BO56">
        <v>43.2643013</v>
      </c>
      <c r="BP56">
        <v>205</v>
      </c>
      <c r="BQ56">
        <v>5</v>
      </c>
      <c r="BR56">
        <v>7</v>
      </c>
    </row>
    <row r="57" spans="1:70" x14ac:dyDescent="0.25">
      <c r="A57">
        <v>55</v>
      </c>
      <c r="B57">
        <v>10482</v>
      </c>
      <c r="C57">
        <v>88.435972000000007</v>
      </c>
      <c r="D57">
        <v>27.0139999999999</v>
      </c>
      <c r="E57" t="s">
        <v>308</v>
      </c>
      <c r="F57">
        <v>1</v>
      </c>
      <c r="G57" t="s">
        <v>130</v>
      </c>
      <c r="H57" t="s">
        <v>72</v>
      </c>
      <c r="I57" t="s">
        <v>72</v>
      </c>
      <c r="J57" t="s">
        <v>88</v>
      </c>
      <c r="K57">
        <v>8</v>
      </c>
      <c r="L57">
        <v>10</v>
      </c>
      <c r="M57">
        <v>15</v>
      </c>
      <c r="N57">
        <v>80</v>
      </c>
      <c r="O57" t="s">
        <v>89</v>
      </c>
      <c r="P57" t="s">
        <v>72</v>
      </c>
      <c r="Q57">
        <v>80</v>
      </c>
      <c r="R57" t="s">
        <v>72</v>
      </c>
      <c r="S57" t="s">
        <v>73</v>
      </c>
      <c r="T57" t="s">
        <v>74</v>
      </c>
      <c r="U57" t="s">
        <v>90</v>
      </c>
      <c r="V57" t="s">
        <v>309</v>
      </c>
      <c r="W57" t="s">
        <v>76</v>
      </c>
      <c r="X57" t="s">
        <v>77</v>
      </c>
      <c r="Y57">
        <v>2015</v>
      </c>
      <c r="Z57" t="s">
        <v>72</v>
      </c>
      <c r="AA57" t="s">
        <v>72</v>
      </c>
      <c r="AB57" t="s">
        <v>72</v>
      </c>
      <c r="AC57" t="s">
        <v>72</v>
      </c>
      <c r="AD57" t="s">
        <v>239</v>
      </c>
      <c r="AE57">
        <v>0</v>
      </c>
      <c r="AF57" t="s">
        <v>79</v>
      </c>
      <c r="AG57" t="s">
        <v>94</v>
      </c>
      <c r="AH57" t="s">
        <v>95</v>
      </c>
      <c r="AI57" t="s">
        <v>150</v>
      </c>
      <c r="AJ57" t="s">
        <v>97</v>
      </c>
      <c r="AK57">
        <v>0</v>
      </c>
      <c r="AL57">
        <v>0</v>
      </c>
      <c r="AM57">
        <v>0</v>
      </c>
      <c r="AN57" t="s">
        <v>98</v>
      </c>
      <c r="AO57" t="s">
        <v>72</v>
      </c>
      <c r="AP57" t="s">
        <v>99</v>
      </c>
      <c r="AQ57" t="s">
        <v>72</v>
      </c>
      <c r="AR57" t="s">
        <v>72</v>
      </c>
      <c r="AS57" t="s">
        <v>72</v>
      </c>
      <c r="AT57" t="s">
        <v>72</v>
      </c>
      <c r="AU57" t="s">
        <v>72</v>
      </c>
      <c r="AV57" t="s">
        <v>72</v>
      </c>
      <c r="AW57" t="s">
        <v>72</v>
      </c>
      <c r="AX57" t="s">
        <v>72</v>
      </c>
      <c r="AY57">
        <v>23.407699600000001</v>
      </c>
      <c r="AZ57">
        <v>121</v>
      </c>
      <c r="BA57">
        <v>2.5599999000000002</v>
      </c>
      <c r="BB57">
        <v>501.71701050000001</v>
      </c>
      <c r="BC57">
        <v>-0.12600500000000001</v>
      </c>
      <c r="BD57">
        <v>0.152029</v>
      </c>
      <c r="BE57">
        <v>12.5</v>
      </c>
      <c r="BF57">
        <v>6.3986901999999999</v>
      </c>
      <c r="BG57">
        <v>0.52136700000000002</v>
      </c>
      <c r="BH57">
        <v>2.0696599</v>
      </c>
      <c r="BI57">
        <v>0.72444399999999998</v>
      </c>
      <c r="BJ57">
        <v>229.8099976</v>
      </c>
      <c r="BK57">
        <v>4</v>
      </c>
      <c r="BL57">
        <v>22.323699999999999</v>
      </c>
      <c r="BM57">
        <v>1013.1900024</v>
      </c>
      <c r="BN57">
        <v>3095.9899902000002</v>
      </c>
      <c r="BO57">
        <v>83.367500300000003</v>
      </c>
      <c r="BP57">
        <v>230</v>
      </c>
      <c r="BQ57">
        <v>5</v>
      </c>
      <c r="BR57">
        <v>7</v>
      </c>
    </row>
    <row r="58" spans="1:70" x14ac:dyDescent="0.25">
      <c r="A58">
        <v>56</v>
      </c>
      <c r="B58">
        <v>721</v>
      </c>
      <c r="C58">
        <v>88.435972000000007</v>
      </c>
      <c r="D58">
        <v>27.0139999999999</v>
      </c>
      <c r="E58" t="s">
        <v>310</v>
      </c>
      <c r="F58">
        <v>0</v>
      </c>
      <c r="G58" t="s">
        <v>72</v>
      </c>
      <c r="H58" t="s">
        <v>72</v>
      </c>
      <c r="I58" t="s">
        <v>72</v>
      </c>
      <c r="J58" t="s">
        <v>72</v>
      </c>
      <c r="K58">
        <v>0</v>
      </c>
      <c r="L58">
        <v>10</v>
      </c>
      <c r="M58">
        <v>0</v>
      </c>
      <c r="N58">
        <v>0</v>
      </c>
      <c r="O58" t="s">
        <v>89</v>
      </c>
      <c r="P58" t="s">
        <v>72</v>
      </c>
      <c r="Q58">
        <v>0</v>
      </c>
      <c r="R58" t="s">
        <v>72</v>
      </c>
      <c r="S58" t="s">
        <v>73</v>
      </c>
      <c r="T58" t="s">
        <v>74</v>
      </c>
      <c r="U58" t="s">
        <v>190</v>
      </c>
      <c r="V58" t="s">
        <v>72</v>
      </c>
      <c r="W58" t="s">
        <v>76</v>
      </c>
      <c r="X58" t="s">
        <v>77</v>
      </c>
      <c r="Y58">
        <v>0</v>
      </c>
      <c r="Z58" t="s">
        <v>72</v>
      </c>
      <c r="AA58" t="s">
        <v>72</v>
      </c>
      <c r="AB58" t="s">
        <v>72</v>
      </c>
      <c r="AC58" t="s">
        <v>72</v>
      </c>
      <c r="AD58" t="s">
        <v>72</v>
      </c>
      <c r="AE58">
        <v>0</v>
      </c>
      <c r="AF58" t="s">
        <v>79</v>
      </c>
      <c r="AG58" t="s">
        <v>94</v>
      </c>
      <c r="AH58" t="s">
        <v>72</v>
      </c>
      <c r="AI58" t="s">
        <v>150</v>
      </c>
      <c r="AJ58" t="s">
        <v>72</v>
      </c>
      <c r="AK58">
        <v>2015</v>
      </c>
      <c r="AL58">
        <v>0</v>
      </c>
      <c r="AM58">
        <v>0</v>
      </c>
      <c r="AN58" t="s">
        <v>233</v>
      </c>
      <c r="AO58" t="s">
        <v>82</v>
      </c>
      <c r="AP58" t="s">
        <v>72</v>
      </c>
      <c r="AQ58" t="s">
        <v>72</v>
      </c>
      <c r="AR58" t="s">
        <v>72</v>
      </c>
      <c r="AS58" t="s">
        <v>72</v>
      </c>
      <c r="AT58" t="s">
        <v>311</v>
      </c>
      <c r="AU58" t="s">
        <v>72</v>
      </c>
      <c r="AV58" t="s">
        <v>312</v>
      </c>
      <c r="AW58" t="s">
        <v>72</v>
      </c>
      <c r="AX58" t="s">
        <v>313</v>
      </c>
      <c r="AY58">
        <v>23.407699600000001</v>
      </c>
      <c r="AZ58">
        <v>121</v>
      </c>
      <c r="BA58">
        <v>2.5599999000000002</v>
      </c>
      <c r="BB58">
        <v>501.71701050000001</v>
      </c>
      <c r="BC58">
        <v>-0.12600500000000001</v>
      </c>
      <c r="BD58">
        <v>0.152029</v>
      </c>
      <c r="BE58">
        <v>12.5</v>
      </c>
      <c r="BF58">
        <v>6.3986901999999999</v>
      </c>
      <c r="BG58">
        <v>0.52136700000000002</v>
      </c>
      <c r="BH58">
        <v>2.0696599</v>
      </c>
      <c r="BI58">
        <v>0.72444399999999998</v>
      </c>
      <c r="BJ58">
        <v>229.8099976</v>
      </c>
      <c r="BK58">
        <v>4</v>
      </c>
      <c r="BL58">
        <v>22.323699999999999</v>
      </c>
      <c r="BM58">
        <v>1013.1900024</v>
      </c>
      <c r="BN58">
        <v>3095.9899902000002</v>
      </c>
      <c r="BO58">
        <v>83.367500300000003</v>
      </c>
      <c r="BP58">
        <v>230</v>
      </c>
      <c r="BQ58">
        <v>5</v>
      </c>
      <c r="BR58">
        <v>7</v>
      </c>
    </row>
    <row r="59" spans="1:70" x14ac:dyDescent="0.25">
      <c r="A59">
        <v>57</v>
      </c>
      <c r="B59">
        <v>314</v>
      </c>
      <c r="C59">
        <v>88.435972000000007</v>
      </c>
      <c r="D59">
        <v>27.0139999999999</v>
      </c>
      <c r="E59" t="s">
        <v>314</v>
      </c>
      <c r="F59">
        <v>0</v>
      </c>
      <c r="G59" t="s">
        <v>72</v>
      </c>
      <c r="H59" t="s">
        <v>72</v>
      </c>
      <c r="I59" t="s">
        <v>72</v>
      </c>
      <c r="J59" t="s">
        <v>72</v>
      </c>
      <c r="K59">
        <v>5</v>
      </c>
      <c r="L59">
        <v>10</v>
      </c>
      <c r="M59">
        <v>5</v>
      </c>
      <c r="N59">
        <v>0</v>
      </c>
      <c r="O59" t="s">
        <v>72</v>
      </c>
      <c r="P59" t="s">
        <v>72</v>
      </c>
      <c r="Q59">
        <v>0</v>
      </c>
      <c r="R59" t="s">
        <v>72</v>
      </c>
      <c r="S59" t="s">
        <v>73</v>
      </c>
      <c r="T59" t="s">
        <v>74</v>
      </c>
      <c r="U59" t="s">
        <v>75</v>
      </c>
      <c r="V59" t="s">
        <v>72</v>
      </c>
      <c r="W59" t="s">
        <v>76</v>
      </c>
      <c r="X59" t="s">
        <v>77</v>
      </c>
      <c r="Y59">
        <v>0</v>
      </c>
      <c r="Z59" t="s">
        <v>72</v>
      </c>
      <c r="AA59" t="s">
        <v>72</v>
      </c>
      <c r="AB59" t="s">
        <v>72</v>
      </c>
      <c r="AC59" t="s">
        <v>72</v>
      </c>
      <c r="AD59" t="s">
        <v>315</v>
      </c>
      <c r="AE59">
        <v>0</v>
      </c>
      <c r="AF59" t="s">
        <v>79</v>
      </c>
      <c r="AG59" t="s">
        <v>72</v>
      </c>
      <c r="AH59" t="s">
        <v>72</v>
      </c>
      <c r="AI59" t="s">
        <v>150</v>
      </c>
      <c r="AJ59" t="s">
        <v>72</v>
      </c>
      <c r="AK59">
        <v>0</v>
      </c>
      <c r="AL59">
        <v>0</v>
      </c>
      <c r="AM59">
        <v>0</v>
      </c>
      <c r="AN59" t="s">
        <v>233</v>
      </c>
      <c r="AO59" t="s">
        <v>82</v>
      </c>
      <c r="AP59" t="s">
        <v>72</v>
      </c>
      <c r="AQ59" t="s">
        <v>72</v>
      </c>
      <c r="AR59" t="s">
        <v>72</v>
      </c>
      <c r="AS59" t="s">
        <v>72</v>
      </c>
      <c r="AT59" t="s">
        <v>84</v>
      </c>
      <c r="AU59" t="s">
        <v>72</v>
      </c>
      <c r="AV59" t="s">
        <v>72</v>
      </c>
      <c r="AW59" t="s">
        <v>72</v>
      </c>
      <c r="AX59" t="s">
        <v>316</v>
      </c>
      <c r="AY59">
        <v>23.407699600000001</v>
      </c>
      <c r="AZ59">
        <v>121</v>
      </c>
      <c r="BA59">
        <v>2.5599999000000002</v>
      </c>
      <c r="BB59">
        <v>501.71701050000001</v>
      </c>
      <c r="BC59">
        <v>-0.12600500000000001</v>
      </c>
      <c r="BD59">
        <v>0.152029</v>
      </c>
      <c r="BE59">
        <v>12.5</v>
      </c>
      <c r="BF59">
        <v>6.3986901999999999</v>
      </c>
      <c r="BG59">
        <v>0.52136700000000002</v>
      </c>
      <c r="BH59">
        <v>2.0696599</v>
      </c>
      <c r="BI59">
        <v>0.72444399999999998</v>
      </c>
      <c r="BJ59">
        <v>229.8099976</v>
      </c>
      <c r="BK59">
        <v>4</v>
      </c>
      <c r="BL59">
        <v>22.323699999999999</v>
      </c>
      <c r="BM59">
        <v>1013.1900024</v>
      </c>
      <c r="BN59">
        <v>3095.9899902000002</v>
      </c>
      <c r="BO59">
        <v>83.367500300000003</v>
      </c>
      <c r="BP59">
        <v>230</v>
      </c>
      <c r="BQ59">
        <v>5</v>
      </c>
      <c r="BR59">
        <v>7</v>
      </c>
    </row>
    <row r="60" spans="1:70" x14ac:dyDescent="0.25">
      <c r="A60">
        <v>58</v>
      </c>
      <c r="B60">
        <v>10251</v>
      </c>
      <c r="C60">
        <v>88.435666999999896</v>
      </c>
      <c r="D60">
        <v>27.015277999999899</v>
      </c>
      <c r="E60" t="s">
        <v>317</v>
      </c>
      <c r="F60">
        <v>1</v>
      </c>
      <c r="G60" t="s">
        <v>102</v>
      </c>
      <c r="H60" t="s">
        <v>72</v>
      </c>
      <c r="I60" t="s">
        <v>72</v>
      </c>
      <c r="J60" t="s">
        <v>88</v>
      </c>
      <c r="K60">
        <v>20</v>
      </c>
      <c r="L60">
        <v>6</v>
      </c>
      <c r="M60">
        <v>18</v>
      </c>
      <c r="N60">
        <v>120</v>
      </c>
      <c r="O60" t="s">
        <v>89</v>
      </c>
      <c r="P60" t="s">
        <v>72</v>
      </c>
      <c r="Q60">
        <v>120</v>
      </c>
      <c r="R60" t="s">
        <v>72</v>
      </c>
      <c r="S60" t="s">
        <v>73</v>
      </c>
      <c r="T60" t="s">
        <v>74</v>
      </c>
      <c r="U60" t="s">
        <v>90</v>
      </c>
      <c r="V60" t="s">
        <v>109</v>
      </c>
      <c r="W60" t="s">
        <v>208</v>
      </c>
      <c r="X60" t="s">
        <v>77</v>
      </c>
      <c r="Y60">
        <v>2015</v>
      </c>
      <c r="Z60" t="s">
        <v>72</v>
      </c>
      <c r="AA60" t="s">
        <v>72</v>
      </c>
      <c r="AB60" t="s">
        <v>72</v>
      </c>
      <c r="AC60" t="s">
        <v>72</v>
      </c>
      <c r="AD60" t="s">
        <v>109</v>
      </c>
      <c r="AE60">
        <v>0</v>
      </c>
      <c r="AF60" t="s">
        <v>79</v>
      </c>
      <c r="AG60" t="s">
        <v>94</v>
      </c>
      <c r="AH60" t="s">
        <v>95</v>
      </c>
      <c r="AI60" t="s">
        <v>96</v>
      </c>
      <c r="AJ60" t="s">
        <v>97</v>
      </c>
      <c r="AK60">
        <v>0</v>
      </c>
      <c r="AL60">
        <v>0</v>
      </c>
      <c r="AM60">
        <v>0</v>
      </c>
      <c r="AN60" t="s">
        <v>98</v>
      </c>
      <c r="AO60" t="s">
        <v>82</v>
      </c>
      <c r="AP60" t="s">
        <v>99</v>
      </c>
      <c r="AQ60" t="s">
        <v>72</v>
      </c>
      <c r="AR60" t="s">
        <v>72</v>
      </c>
      <c r="AS60" t="s">
        <v>72</v>
      </c>
      <c r="AT60" t="s">
        <v>72</v>
      </c>
      <c r="AU60" t="s">
        <v>72</v>
      </c>
      <c r="AV60" t="s">
        <v>72</v>
      </c>
      <c r="AW60" t="s">
        <v>72</v>
      </c>
      <c r="AX60" t="s">
        <v>103</v>
      </c>
      <c r="AY60">
        <v>50.896900199999997</v>
      </c>
      <c r="AZ60">
        <v>17</v>
      </c>
      <c r="BA60">
        <v>-2.5599999000000002</v>
      </c>
      <c r="BB60">
        <v>497.16900629999998</v>
      </c>
      <c r="BC60">
        <v>-0.12779299999999999</v>
      </c>
      <c r="BD60">
        <v>0.12964400000000001</v>
      </c>
      <c r="BE60">
        <v>0</v>
      </c>
      <c r="BF60">
        <v>4.3978600999999999</v>
      </c>
      <c r="BG60">
        <v>0.49103999999999998</v>
      </c>
      <c r="BH60">
        <v>2.1541800000000002</v>
      </c>
      <c r="BI60">
        <v>0.67519300000000004</v>
      </c>
      <c r="BJ60">
        <v>141.4210052</v>
      </c>
      <c r="BK60">
        <v>4</v>
      </c>
      <c r="BL60">
        <v>22.6896992</v>
      </c>
      <c r="BM60">
        <v>905.02099610000005</v>
      </c>
      <c r="BN60">
        <v>3173.1499023000001</v>
      </c>
      <c r="BO60">
        <v>88.602798500000006</v>
      </c>
      <c r="BP60">
        <v>219</v>
      </c>
      <c r="BQ60">
        <v>5</v>
      </c>
      <c r="BR60">
        <v>7</v>
      </c>
    </row>
    <row r="61" spans="1:70" x14ac:dyDescent="0.25">
      <c r="A61">
        <v>59</v>
      </c>
      <c r="B61">
        <v>10309</v>
      </c>
      <c r="C61">
        <v>88.432668000000007</v>
      </c>
      <c r="D61">
        <v>27.0171449999999</v>
      </c>
      <c r="E61" t="s">
        <v>318</v>
      </c>
      <c r="F61">
        <v>3</v>
      </c>
      <c r="G61" t="s">
        <v>130</v>
      </c>
      <c r="H61" t="s">
        <v>72</v>
      </c>
      <c r="I61" t="s">
        <v>72</v>
      </c>
      <c r="J61" t="s">
        <v>88</v>
      </c>
      <c r="K61">
        <v>100</v>
      </c>
      <c r="L61">
        <v>50</v>
      </c>
      <c r="M61">
        <v>55</v>
      </c>
      <c r="N61">
        <v>5000</v>
      </c>
      <c r="O61" t="s">
        <v>89</v>
      </c>
      <c r="P61" t="s">
        <v>72</v>
      </c>
      <c r="Q61">
        <v>15000</v>
      </c>
      <c r="R61" t="s">
        <v>72</v>
      </c>
      <c r="S61" t="s">
        <v>73</v>
      </c>
      <c r="T61" t="s">
        <v>74</v>
      </c>
      <c r="U61" t="s">
        <v>90</v>
      </c>
      <c r="V61" t="s">
        <v>319</v>
      </c>
      <c r="W61" t="s">
        <v>159</v>
      </c>
      <c r="X61" t="s">
        <v>119</v>
      </c>
      <c r="Y61">
        <v>2007</v>
      </c>
      <c r="Z61" t="s">
        <v>72</v>
      </c>
      <c r="AA61" t="s">
        <v>72</v>
      </c>
      <c r="AB61" t="s">
        <v>72</v>
      </c>
      <c r="AC61" t="s">
        <v>72</v>
      </c>
      <c r="AD61" t="s">
        <v>320</v>
      </c>
      <c r="AE61">
        <v>0</v>
      </c>
      <c r="AF61" t="s">
        <v>79</v>
      </c>
      <c r="AG61" t="s">
        <v>94</v>
      </c>
      <c r="AH61" t="s">
        <v>95</v>
      </c>
      <c r="AI61" t="s">
        <v>121</v>
      </c>
      <c r="AJ61" t="s">
        <v>113</v>
      </c>
      <c r="AK61">
        <v>0</v>
      </c>
      <c r="AL61">
        <v>0</v>
      </c>
      <c r="AM61">
        <v>0</v>
      </c>
      <c r="AN61" t="s">
        <v>72</v>
      </c>
      <c r="AO61" t="s">
        <v>72</v>
      </c>
      <c r="AP61" t="s">
        <v>72</v>
      </c>
      <c r="AQ61" t="s">
        <v>72</v>
      </c>
      <c r="AR61" t="s">
        <v>72</v>
      </c>
      <c r="AS61" t="s">
        <v>72</v>
      </c>
      <c r="AT61" t="s">
        <v>118</v>
      </c>
      <c r="AU61" t="s">
        <v>72</v>
      </c>
      <c r="AV61" t="s">
        <v>321</v>
      </c>
      <c r="AW61" t="s">
        <v>72</v>
      </c>
      <c r="AX61" t="s">
        <v>72</v>
      </c>
      <c r="AY61">
        <v>37.272998800000003</v>
      </c>
      <c r="AZ61">
        <v>70</v>
      </c>
      <c r="BA61">
        <v>0</v>
      </c>
      <c r="BB61">
        <v>510.77899170000001</v>
      </c>
      <c r="BC61">
        <v>-0.146955</v>
      </c>
      <c r="BD61">
        <v>0.15074100000000001</v>
      </c>
      <c r="BE61">
        <v>187.5</v>
      </c>
      <c r="BF61">
        <v>4.8782201000000001</v>
      </c>
      <c r="BG61">
        <v>0.5</v>
      </c>
      <c r="BH61">
        <v>1.67431</v>
      </c>
      <c r="BI61">
        <v>0.82284800000000002</v>
      </c>
      <c r="BJ61">
        <v>325</v>
      </c>
      <c r="BK61">
        <v>4</v>
      </c>
      <c r="BL61">
        <v>19.1070004</v>
      </c>
      <c r="BM61">
        <v>544.5759888</v>
      </c>
      <c r="BN61">
        <v>3527.2399902000002</v>
      </c>
      <c r="BO61">
        <v>86.987197899999998</v>
      </c>
      <c r="BP61">
        <v>303</v>
      </c>
      <c r="BQ61">
        <v>5</v>
      </c>
      <c r="BR61">
        <v>7</v>
      </c>
    </row>
    <row r="62" spans="1:70" x14ac:dyDescent="0.25">
      <c r="A62">
        <v>60</v>
      </c>
      <c r="B62">
        <v>10398</v>
      </c>
      <c r="C62">
        <v>88.435039000000003</v>
      </c>
      <c r="D62">
        <v>27.018428</v>
      </c>
      <c r="E62" t="s">
        <v>322</v>
      </c>
      <c r="F62">
        <v>1</v>
      </c>
      <c r="G62" t="s">
        <v>102</v>
      </c>
      <c r="H62" t="s">
        <v>72</v>
      </c>
      <c r="I62" t="s">
        <v>72</v>
      </c>
      <c r="J62" t="s">
        <v>88</v>
      </c>
      <c r="K62">
        <v>10</v>
      </c>
      <c r="L62">
        <v>3</v>
      </c>
      <c r="M62">
        <v>0</v>
      </c>
      <c r="N62">
        <v>30</v>
      </c>
      <c r="O62" t="s">
        <v>89</v>
      </c>
      <c r="P62" t="s">
        <v>72</v>
      </c>
      <c r="Q62">
        <v>30</v>
      </c>
      <c r="R62" t="s">
        <v>72</v>
      </c>
      <c r="S62" t="s">
        <v>73</v>
      </c>
      <c r="T62" t="s">
        <v>74</v>
      </c>
      <c r="U62" t="s">
        <v>90</v>
      </c>
      <c r="V62" t="s">
        <v>109</v>
      </c>
      <c r="W62" t="s">
        <v>76</v>
      </c>
      <c r="X62" t="s">
        <v>77</v>
      </c>
      <c r="Y62">
        <v>2014</v>
      </c>
      <c r="Z62" t="s">
        <v>72</v>
      </c>
      <c r="AA62" t="s">
        <v>72</v>
      </c>
      <c r="AB62" t="s">
        <v>72</v>
      </c>
      <c r="AC62" t="s">
        <v>72</v>
      </c>
      <c r="AD62" t="s">
        <v>109</v>
      </c>
      <c r="AE62">
        <v>0</v>
      </c>
      <c r="AF62" t="s">
        <v>79</v>
      </c>
      <c r="AG62" t="s">
        <v>128</v>
      </c>
      <c r="AH62" t="s">
        <v>95</v>
      </c>
      <c r="AI62" t="s">
        <v>96</v>
      </c>
      <c r="AJ62" t="s">
        <v>97</v>
      </c>
      <c r="AK62">
        <v>0</v>
      </c>
      <c r="AL62">
        <v>0</v>
      </c>
      <c r="AM62">
        <v>0</v>
      </c>
      <c r="AN62" t="s">
        <v>72</v>
      </c>
      <c r="AO62" t="s">
        <v>72</v>
      </c>
      <c r="AP62" t="s">
        <v>72</v>
      </c>
      <c r="AQ62" t="s">
        <v>72</v>
      </c>
      <c r="AR62" t="s">
        <v>72</v>
      </c>
      <c r="AS62" t="s">
        <v>72</v>
      </c>
      <c r="AT62" t="s">
        <v>72</v>
      </c>
      <c r="AU62" t="s">
        <v>72</v>
      </c>
      <c r="AV62" t="s">
        <v>72</v>
      </c>
      <c r="AW62" t="s">
        <v>72</v>
      </c>
      <c r="AX62" t="s">
        <v>72</v>
      </c>
      <c r="AY62">
        <v>31.4685001</v>
      </c>
      <c r="AZ62">
        <v>92</v>
      </c>
      <c r="BA62">
        <v>-1.92</v>
      </c>
      <c r="BB62">
        <v>487.6650085</v>
      </c>
      <c r="BC62">
        <v>-0.122545</v>
      </c>
      <c r="BD62">
        <v>0.14455999999999999</v>
      </c>
      <c r="BE62">
        <v>35.355300900000003</v>
      </c>
      <c r="BF62">
        <v>8.1123799999999999</v>
      </c>
      <c r="BG62">
        <v>0.47916700000000001</v>
      </c>
      <c r="BH62">
        <v>4.5338897999999999</v>
      </c>
      <c r="BI62">
        <v>0.83092200000000005</v>
      </c>
      <c r="BJ62">
        <v>87.5</v>
      </c>
      <c r="BK62">
        <v>4</v>
      </c>
      <c r="BL62">
        <v>22.081499099999998</v>
      </c>
      <c r="BM62">
        <v>715.89099120000003</v>
      </c>
      <c r="BN62">
        <v>3371.0400390999998</v>
      </c>
      <c r="BO62">
        <v>85.314102199999994</v>
      </c>
      <c r="BP62">
        <v>183</v>
      </c>
      <c r="BQ62">
        <v>5</v>
      </c>
      <c r="BR62">
        <v>7</v>
      </c>
    </row>
    <row r="63" spans="1:70" x14ac:dyDescent="0.25">
      <c r="A63">
        <v>61</v>
      </c>
      <c r="B63">
        <v>10308</v>
      </c>
      <c r="C63">
        <v>88.434995000000001</v>
      </c>
      <c r="D63">
        <v>27.018491000000001</v>
      </c>
      <c r="E63" t="s">
        <v>323</v>
      </c>
      <c r="F63">
        <v>3</v>
      </c>
      <c r="G63" t="s">
        <v>130</v>
      </c>
      <c r="H63" t="s">
        <v>72</v>
      </c>
      <c r="I63" t="s">
        <v>72</v>
      </c>
      <c r="J63" t="s">
        <v>88</v>
      </c>
      <c r="K63">
        <v>100</v>
      </c>
      <c r="L63">
        <v>50</v>
      </c>
      <c r="M63">
        <v>55</v>
      </c>
      <c r="N63">
        <v>5000</v>
      </c>
      <c r="O63" t="s">
        <v>89</v>
      </c>
      <c r="P63" t="s">
        <v>72</v>
      </c>
      <c r="Q63">
        <v>15000</v>
      </c>
      <c r="R63" t="s">
        <v>72</v>
      </c>
      <c r="S63" t="s">
        <v>73</v>
      </c>
      <c r="T63" t="s">
        <v>74</v>
      </c>
      <c r="U63" t="s">
        <v>90</v>
      </c>
      <c r="V63" t="s">
        <v>319</v>
      </c>
      <c r="W63" t="s">
        <v>159</v>
      </c>
      <c r="X63" t="s">
        <v>119</v>
      </c>
      <c r="Y63">
        <v>2007</v>
      </c>
      <c r="Z63" t="s">
        <v>72</v>
      </c>
      <c r="AA63" t="s">
        <v>72</v>
      </c>
      <c r="AB63" t="s">
        <v>72</v>
      </c>
      <c r="AC63" t="s">
        <v>72</v>
      </c>
      <c r="AD63" t="s">
        <v>320</v>
      </c>
      <c r="AE63">
        <v>0</v>
      </c>
      <c r="AF63" t="s">
        <v>79</v>
      </c>
      <c r="AG63" t="s">
        <v>94</v>
      </c>
      <c r="AH63" t="s">
        <v>95</v>
      </c>
      <c r="AI63" t="s">
        <v>121</v>
      </c>
      <c r="AJ63" t="s">
        <v>113</v>
      </c>
      <c r="AK63">
        <v>0</v>
      </c>
      <c r="AL63">
        <v>0</v>
      </c>
      <c r="AM63">
        <v>0</v>
      </c>
      <c r="AN63" t="s">
        <v>98</v>
      </c>
      <c r="AO63" t="s">
        <v>72</v>
      </c>
      <c r="AP63" t="s">
        <v>114</v>
      </c>
      <c r="AQ63" t="s">
        <v>72</v>
      </c>
      <c r="AR63" t="s">
        <v>72</v>
      </c>
      <c r="AS63" t="s">
        <v>72</v>
      </c>
      <c r="AT63" t="s">
        <v>324</v>
      </c>
      <c r="AU63" t="s">
        <v>72</v>
      </c>
      <c r="AV63" t="s">
        <v>325</v>
      </c>
      <c r="AW63" t="s">
        <v>72</v>
      </c>
      <c r="AX63" t="s">
        <v>72</v>
      </c>
      <c r="AY63">
        <v>31.4685001</v>
      </c>
      <c r="AZ63">
        <v>92</v>
      </c>
      <c r="BA63">
        <v>-1.92</v>
      </c>
      <c r="BB63">
        <v>487.6650085</v>
      </c>
      <c r="BC63">
        <v>-0.122545</v>
      </c>
      <c r="BD63">
        <v>0.14455999999999999</v>
      </c>
      <c r="BE63">
        <v>35.355300900000003</v>
      </c>
      <c r="BF63">
        <v>5.6557297999999996</v>
      </c>
      <c r="BG63">
        <v>0.47916700000000001</v>
      </c>
      <c r="BH63">
        <v>2.0757100999999998</v>
      </c>
      <c r="BI63">
        <v>0.832117</v>
      </c>
      <c r="BJ63">
        <v>95.197197000000003</v>
      </c>
      <c r="BK63">
        <v>4</v>
      </c>
      <c r="BL63">
        <v>22.081499099999998</v>
      </c>
      <c r="BM63">
        <v>701.11499019999997</v>
      </c>
      <c r="BN63">
        <v>3387.8701172000001</v>
      </c>
      <c r="BO63">
        <v>85.314102199999994</v>
      </c>
      <c r="BP63">
        <v>183</v>
      </c>
      <c r="BQ63">
        <v>5</v>
      </c>
      <c r="BR63">
        <v>7</v>
      </c>
    </row>
    <row r="64" spans="1:70" x14ac:dyDescent="0.25">
      <c r="A64">
        <v>62</v>
      </c>
      <c r="B64">
        <v>422</v>
      </c>
      <c r="C64">
        <v>88.445999999999898</v>
      </c>
      <c r="D64">
        <v>27.021000000000001</v>
      </c>
      <c r="E64" t="s">
        <v>326</v>
      </c>
      <c r="F64">
        <v>5</v>
      </c>
      <c r="G64" t="s">
        <v>327</v>
      </c>
      <c r="H64" t="s">
        <v>72</v>
      </c>
      <c r="I64" t="s">
        <v>72</v>
      </c>
      <c r="J64" t="s">
        <v>72</v>
      </c>
      <c r="K64">
        <v>200</v>
      </c>
      <c r="L64">
        <v>300</v>
      </c>
      <c r="M64">
        <v>200</v>
      </c>
      <c r="N64">
        <v>0</v>
      </c>
      <c r="O64" t="s">
        <v>72</v>
      </c>
      <c r="P64" t="s">
        <v>328</v>
      </c>
      <c r="Q64">
        <v>0</v>
      </c>
      <c r="R64" t="s">
        <v>72</v>
      </c>
      <c r="S64" t="s">
        <v>73</v>
      </c>
      <c r="T64" t="s">
        <v>74</v>
      </c>
      <c r="U64" t="s">
        <v>90</v>
      </c>
      <c r="V64" t="s">
        <v>72</v>
      </c>
      <c r="W64" t="s">
        <v>72</v>
      </c>
      <c r="X64" t="s">
        <v>145</v>
      </c>
      <c r="Y64">
        <v>0</v>
      </c>
      <c r="Z64" t="s">
        <v>72</v>
      </c>
      <c r="AA64" t="s">
        <v>72</v>
      </c>
      <c r="AB64" t="s">
        <v>72</v>
      </c>
      <c r="AC64" t="s">
        <v>72</v>
      </c>
      <c r="AD64" t="s">
        <v>285</v>
      </c>
      <c r="AE64">
        <v>0</v>
      </c>
      <c r="AF64" t="s">
        <v>186</v>
      </c>
      <c r="AG64" t="s">
        <v>94</v>
      </c>
      <c r="AH64" t="s">
        <v>72</v>
      </c>
      <c r="AI64" t="s">
        <v>121</v>
      </c>
      <c r="AJ64" t="s">
        <v>72</v>
      </c>
      <c r="AK64">
        <v>0</v>
      </c>
      <c r="AL64">
        <v>0</v>
      </c>
      <c r="AM64">
        <v>0</v>
      </c>
      <c r="AN64" t="s">
        <v>72</v>
      </c>
      <c r="AO64" t="s">
        <v>82</v>
      </c>
      <c r="AP64" t="s">
        <v>99</v>
      </c>
      <c r="AQ64" t="s">
        <v>72</v>
      </c>
      <c r="AR64" t="s">
        <v>72</v>
      </c>
      <c r="AS64" t="s">
        <v>72</v>
      </c>
      <c r="AT64" t="s">
        <v>72</v>
      </c>
      <c r="AU64" t="s">
        <v>72</v>
      </c>
      <c r="AV64" t="s">
        <v>329</v>
      </c>
      <c r="AW64" t="s">
        <v>72</v>
      </c>
      <c r="AX64" t="s">
        <v>330</v>
      </c>
      <c r="AY64">
        <v>22.583999599999999</v>
      </c>
      <c r="AZ64">
        <v>222</v>
      </c>
      <c r="BA64">
        <v>0</v>
      </c>
      <c r="BB64">
        <v>498.49499509999998</v>
      </c>
      <c r="BC64">
        <v>-0.17144000000000001</v>
      </c>
      <c r="BD64">
        <v>0.22806599999999999</v>
      </c>
      <c r="BE64">
        <v>357.94601440000002</v>
      </c>
      <c r="BF64">
        <v>6.0804501000000002</v>
      </c>
      <c r="BG64">
        <v>0.50926000000000005</v>
      </c>
      <c r="BH64">
        <v>1.6518600000000001</v>
      </c>
      <c r="BI64">
        <v>0.60863199999999995</v>
      </c>
      <c r="BJ64">
        <v>173.6560059</v>
      </c>
      <c r="BK64">
        <v>4</v>
      </c>
      <c r="BL64">
        <v>9.1046600000000009</v>
      </c>
      <c r="BM64">
        <v>1007.7800293</v>
      </c>
      <c r="BN64">
        <v>2661.2099609000002</v>
      </c>
      <c r="BO64">
        <v>279.68899540000001</v>
      </c>
      <c r="BP64">
        <v>385</v>
      </c>
      <c r="BQ64">
        <v>5</v>
      </c>
      <c r="BR64">
        <v>3</v>
      </c>
    </row>
    <row r="65" spans="1:70" x14ac:dyDescent="0.25">
      <c r="A65">
        <v>63</v>
      </c>
      <c r="B65">
        <v>10483</v>
      </c>
      <c r="C65">
        <v>88.433694000000003</v>
      </c>
      <c r="D65">
        <v>27.023444000000001</v>
      </c>
      <c r="E65" t="s">
        <v>331</v>
      </c>
      <c r="F65">
        <v>1</v>
      </c>
      <c r="G65" t="s">
        <v>130</v>
      </c>
      <c r="H65" t="s">
        <v>72</v>
      </c>
      <c r="I65" t="s">
        <v>72</v>
      </c>
      <c r="J65" t="s">
        <v>88</v>
      </c>
      <c r="K65">
        <v>30</v>
      </c>
      <c r="L65">
        <v>15</v>
      </c>
      <c r="M65">
        <v>20</v>
      </c>
      <c r="N65">
        <v>450</v>
      </c>
      <c r="O65" t="s">
        <v>89</v>
      </c>
      <c r="P65" t="s">
        <v>72</v>
      </c>
      <c r="Q65">
        <v>450</v>
      </c>
      <c r="R65" t="s">
        <v>72</v>
      </c>
      <c r="S65" t="s">
        <v>73</v>
      </c>
      <c r="T65" t="s">
        <v>74</v>
      </c>
      <c r="U65" t="s">
        <v>90</v>
      </c>
      <c r="V65" t="s">
        <v>332</v>
      </c>
      <c r="W65" t="s">
        <v>76</v>
      </c>
      <c r="X65" t="s">
        <v>77</v>
      </c>
      <c r="Y65">
        <v>2015</v>
      </c>
      <c r="Z65" t="s">
        <v>72</v>
      </c>
      <c r="AA65" t="s">
        <v>72</v>
      </c>
      <c r="AB65" t="s">
        <v>72</v>
      </c>
      <c r="AC65" t="s">
        <v>72</v>
      </c>
      <c r="AD65" t="s">
        <v>239</v>
      </c>
      <c r="AE65">
        <v>0</v>
      </c>
      <c r="AF65" t="s">
        <v>79</v>
      </c>
      <c r="AG65" t="s">
        <v>94</v>
      </c>
      <c r="AH65" t="s">
        <v>95</v>
      </c>
      <c r="AI65" t="s">
        <v>80</v>
      </c>
      <c r="AJ65" t="s">
        <v>97</v>
      </c>
      <c r="AK65">
        <v>0</v>
      </c>
      <c r="AL65">
        <v>0</v>
      </c>
      <c r="AM65">
        <v>0</v>
      </c>
      <c r="AN65" t="s">
        <v>98</v>
      </c>
      <c r="AO65" t="s">
        <v>72</v>
      </c>
      <c r="AP65" t="s">
        <v>99</v>
      </c>
      <c r="AQ65" t="s">
        <v>72</v>
      </c>
      <c r="AR65" t="s">
        <v>72</v>
      </c>
      <c r="AS65" t="s">
        <v>72</v>
      </c>
      <c r="AT65" t="s">
        <v>72</v>
      </c>
      <c r="AU65" t="s">
        <v>72</v>
      </c>
      <c r="AV65" t="s">
        <v>72</v>
      </c>
      <c r="AW65" t="s">
        <v>72</v>
      </c>
      <c r="AX65" t="s">
        <v>72</v>
      </c>
      <c r="AY65">
        <v>29.005600000000001</v>
      </c>
      <c r="AZ65">
        <v>148</v>
      </c>
      <c r="BA65">
        <v>-1.28</v>
      </c>
      <c r="BB65">
        <v>492.15399170000001</v>
      </c>
      <c r="BC65">
        <v>-9.20546E-2</v>
      </c>
      <c r="BD65">
        <v>0.13946600000000001</v>
      </c>
      <c r="BE65">
        <v>0</v>
      </c>
      <c r="BF65">
        <v>4.7249698999999996</v>
      </c>
      <c r="BG65">
        <v>0.45029200000000003</v>
      </c>
      <c r="BH65">
        <v>0.79854400000000003</v>
      </c>
      <c r="BI65">
        <v>0.88689799999999996</v>
      </c>
      <c r="BJ65">
        <v>35.355300900000003</v>
      </c>
      <c r="BK65">
        <v>7</v>
      </c>
      <c r="BL65">
        <v>29.757099199999999</v>
      </c>
      <c r="BM65">
        <v>530.47698969999999</v>
      </c>
      <c r="BN65">
        <v>3785.8300780999998</v>
      </c>
      <c r="BO65">
        <v>50.855998999999997</v>
      </c>
      <c r="BP65">
        <v>170</v>
      </c>
      <c r="BQ65">
        <v>6</v>
      </c>
      <c r="BR65">
        <v>7</v>
      </c>
    </row>
    <row r="66" spans="1:70" x14ac:dyDescent="0.25">
      <c r="A66">
        <v>64</v>
      </c>
      <c r="B66">
        <v>12853</v>
      </c>
      <c r="C66">
        <v>88.460935000000006</v>
      </c>
      <c r="D66">
        <v>26.941112</v>
      </c>
      <c r="E66" t="s">
        <v>333</v>
      </c>
      <c r="F66">
        <v>1</v>
      </c>
      <c r="G66" t="s">
        <v>112</v>
      </c>
      <c r="H66" t="s">
        <v>72</v>
      </c>
      <c r="I66" t="s">
        <v>72</v>
      </c>
      <c r="J66" t="s">
        <v>189</v>
      </c>
      <c r="K66">
        <v>327</v>
      </c>
      <c r="L66">
        <v>186</v>
      </c>
      <c r="M66">
        <v>162</v>
      </c>
      <c r="N66">
        <v>60822</v>
      </c>
      <c r="O66" t="s">
        <v>89</v>
      </c>
      <c r="P66" t="s">
        <v>334</v>
      </c>
      <c r="Q66">
        <v>60822</v>
      </c>
      <c r="R66" t="s">
        <v>72</v>
      </c>
      <c r="S66" t="s">
        <v>73</v>
      </c>
      <c r="T66" t="s">
        <v>74</v>
      </c>
      <c r="U66" t="s">
        <v>190</v>
      </c>
      <c r="V66" t="s">
        <v>335</v>
      </c>
      <c r="W66" t="s">
        <v>76</v>
      </c>
      <c r="X66" t="s">
        <v>77</v>
      </c>
      <c r="Y66">
        <v>2010</v>
      </c>
      <c r="Z66" t="s">
        <v>72</v>
      </c>
      <c r="AA66" t="s">
        <v>72</v>
      </c>
      <c r="AB66" t="s">
        <v>72</v>
      </c>
      <c r="AC66" t="s">
        <v>72</v>
      </c>
      <c r="AD66" t="s">
        <v>72</v>
      </c>
      <c r="AE66">
        <v>0</v>
      </c>
      <c r="AF66" t="s">
        <v>148</v>
      </c>
      <c r="AG66" t="s">
        <v>94</v>
      </c>
      <c r="AH66" t="s">
        <v>95</v>
      </c>
      <c r="AI66" t="s">
        <v>96</v>
      </c>
      <c r="AJ66" t="s">
        <v>97</v>
      </c>
      <c r="AK66">
        <v>0</v>
      </c>
      <c r="AL66">
        <v>0</v>
      </c>
      <c r="AM66">
        <v>0</v>
      </c>
      <c r="AN66" t="s">
        <v>336</v>
      </c>
      <c r="AO66" t="s">
        <v>221</v>
      </c>
      <c r="AP66" t="s">
        <v>200</v>
      </c>
      <c r="AQ66" t="s">
        <v>72</v>
      </c>
      <c r="AR66" t="s">
        <v>72</v>
      </c>
      <c r="AS66" t="s">
        <v>72</v>
      </c>
      <c r="AT66" t="s">
        <v>72</v>
      </c>
      <c r="AU66" t="s">
        <v>72</v>
      </c>
      <c r="AV66" t="s">
        <v>217</v>
      </c>
      <c r="AW66" t="s">
        <v>72</v>
      </c>
      <c r="AX66" t="s">
        <v>307</v>
      </c>
      <c r="AY66">
        <v>49.019798299999998</v>
      </c>
      <c r="AZ66">
        <v>9</v>
      </c>
      <c r="BA66">
        <v>-1.92</v>
      </c>
      <c r="BB66">
        <v>698.0349731</v>
      </c>
      <c r="BC66">
        <v>-0.163248</v>
      </c>
      <c r="BD66">
        <v>0.18507299999999999</v>
      </c>
      <c r="BE66">
        <v>1331.8800048999999</v>
      </c>
      <c r="BF66">
        <v>5.4759897999999998</v>
      </c>
      <c r="BG66">
        <v>0.5</v>
      </c>
      <c r="BH66">
        <v>3.1862199000000002</v>
      </c>
      <c r="BI66">
        <v>0.66798000000000002</v>
      </c>
      <c r="BJ66">
        <v>908.63897710000003</v>
      </c>
      <c r="BK66">
        <v>4</v>
      </c>
      <c r="BL66">
        <v>0</v>
      </c>
      <c r="BM66">
        <v>4281.1499022999997</v>
      </c>
      <c r="BN66">
        <v>6995.6499022999997</v>
      </c>
      <c r="BO66">
        <v>172.01100159999999</v>
      </c>
      <c r="BP66">
        <v>573</v>
      </c>
      <c r="BQ66">
        <v>5</v>
      </c>
      <c r="BR66">
        <v>5</v>
      </c>
    </row>
    <row r="67" spans="1:70" x14ac:dyDescent="0.25">
      <c r="A67">
        <v>65</v>
      </c>
      <c r="B67">
        <v>12797</v>
      </c>
      <c r="C67">
        <v>88.459767999999897</v>
      </c>
      <c r="D67">
        <v>26.941599</v>
      </c>
      <c r="E67" t="s">
        <v>337</v>
      </c>
      <c r="F67">
        <v>1</v>
      </c>
      <c r="G67" t="s">
        <v>112</v>
      </c>
      <c r="H67" t="s">
        <v>72</v>
      </c>
      <c r="I67" t="s">
        <v>72</v>
      </c>
      <c r="J67" t="s">
        <v>189</v>
      </c>
      <c r="K67">
        <v>430</v>
      </c>
      <c r="L67">
        <v>131</v>
      </c>
      <c r="M67">
        <v>249</v>
      </c>
      <c r="N67">
        <v>56330</v>
      </c>
      <c r="O67" t="s">
        <v>89</v>
      </c>
      <c r="P67" t="s">
        <v>72</v>
      </c>
      <c r="Q67">
        <v>56330</v>
      </c>
      <c r="R67" t="s">
        <v>72</v>
      </c>
      <c r="S67" t="s">
        <v>73</v>
      </c>
      <c r="T67" t="s">
        <v>74</v>
      </c>
      <c r="U67" t="s">
        <v>190</v>
      </c>
      <c r="V67" t="s">
        <v>338</v>
      </c>
      <c r="W67" t="s">
        <v>76</v>
      </c>
      <c r="X67" t="s">
        <v>77</v>
      </c>
      <c r="Y67">
        <v>2004</v>
      </c>
      <c r="Z67" t="s">
        <v>72</v>
      </c>
      <c r="AA67" t="s">
        <v>72</v>
      </c>
      <c r="AB67" t="s">
        <v>72</v>
      </c>
      <c r="AC67" t="s">
        <v>72</v>
      </c>
      <c r="AD67" t="s">
        <v>72</v>
      </c>
      <c r="AE67">
        <v>0</v>
      </c>
      <c r="AF67" t="s">
        <v>148</v>
      </c>
      <c r="AG67" t="s">
        <v>94</v>
      </c>
      <c r="AH67" t="s">
        <v>95</v>
      </c>
      <c r="AI67" t="s">
        <v>96</v>
      </c>
      <c r="AJ67" t="s">
        <v>97</v>
      </c>
      <c r="AK67">
        <v>0</v>
      </c>
      <c r="AL67">
        <v>0</v>
      </c>
      <c r="AM67">
        <v>0</v>
      </c>
      <c r="AN67" t="s">
        <v>336</v>
      </c>
      <c r="AO67" t="s">
        <v>82</v>
      </c>
      <c r="AP67" t="s">
        <v>200</v>
      </c>
      <c r="AQ67" t="s">
        <v>72</v>
      </c>
      <c r="AR67" t="s">
        <v>72</v>
      </c>
      <c r="AS67" t="s">
        <v>72</v>
      </c>
      <c r="AT67" t="s">
        <v>72</v>
      </c>
      <c r="AU67" t="s">
        <v>339</v>
      </c>
      <c r="AV67" t="s">
        <v>72</v>
      </c>
      <c r="AW67" t="s">
        <v>72</v>
      </c>
      <c r="AX67" t="s">
        <v>340</v>
      </c>
      <c r="AY67">
        <v>37.272998800000003</v>
      </c>
      <c r="AZ67">
        <v>70</v>
      </c>
      <c r="BA67">
        <v>1.28</v>
      </c>
      <c r="BB67">
        <v>670.89599610000005</v>
      </c>
      <c r="BC67">
        <v>-0.12106500000000001</v>
      </c>
      <c r="BD67">
        <v>0.14690500000000001</v>
      </c>
      <c r="BE67">
        <v>1261.9399414</v>
      </c>
      <c r="BF67">
        <v>4.7446899</v>
      </c>
      <c r="BG67">
        <v>0.51666599999999996</v>
      </c>
      <c r="BH67">
        <v>1.5201899999999999</v>
      </c>
      <c r="BI67">
        <v>0.75523600000000002</v>
      </c>
      <c r="BJ67">
        <v>866.11602779999998</v>
      </c>
      <c r="BK67">
        <v>4</v>
      </c>
      <c r="BL67">
        <v>0</v>
      </c>
      <c r="BM67">
        <v>4181.5400391000003</v>
      </c>
      <c r="BN67">
        <v>6952.0800780999998</v>
      </c>
      <c r="BO67">
        <v>183.0130005</v>
      </c>
      <c r="BP67">
        <v>629</v>
      </c>
      <c r="BQ67">
        <v>5</v>
      </c>
      <c r="BR67">
        <v>5</v>
      </c>
    </row>
    <row r="68" spans="1:70" x14ac:dyDescent="0.25">
      <c r="A68">
        <v>66</v>
      </c>
      <c r="B68">
        <v>12852</v>
      </c>
      <c r="C68">
        <v>88.465202000000005</v>
      </c>
      <c r="D68">
        <v>26.941589</v>
      </c>
      <c r="E68" t="s">
        <v>341</v>
      </c>
      <c r="F68">
        <v>1</v>
      </c>
      <c r="G68" t="s">
        <v>112</v>
      </c>
      <c r="H68" t="s">
        <v>72</v>
      </c>
      <c r="I68" t="s">
        <v>72</v>
      </c>
      <c r="J68" t="s">
        <v>189</v>
      </c>
      <c r="K68">
        <v>338</v>
      </c>
      <c r="L68">
        <v>86</v>
      </c>
      <c r="M68">
        <v>202</v>
      </c>
      <c r="N68">
        <v>29068</v>
      </c>
      <c r="O68" t="s">
        <v>89</v>
      </c>
      <c r="P68" t="s">
        <v>342</v>
      </c>
      <c r="Q68">
        <v>29068</v>
      </c>
      <c r="R68" t="s">
        <v>72</v>
      </c>
      <c r="S68" t="s">
        <v>73</v>
      </c>
      <c r="T68" t="s">
        <v>74</v>
      </c>
      <c r="U68" t="s">
        <v>190</v>
      </c>
      <c r="V68" t="s">
        <v>343</v>
      </c>
      <c r="W68" t="s">
        <v>76</v>
      </c>
      <c r="X68" t="s">
        <v>77</v>
      </c>
      <c r="Y68">
        <v>2010</v>
      </c>
      <c r="Z68" t="s">
        <v>72</v>
      </c>
      <c r="AA68" t="s">
        <v>72</v>
      </c>
      <c r="AB68" t="s">
        <v>72</v>
      </c>
      <c r="AC68" t="s">
        <v>72</v>
      </c>
      <c r="AD68" t="s">
        <v>72</v>
      </c>
      <c r="AE68">
        <v>0</v>
      </c>
      <c r="AF68" t="s">
        <v>148</v>
      </c>
      <c r="AG68" t="s">
        <v>94</v>
      </c>
      <c r="AH68" t="s">
        <v>95</v>
      </c>
      <c r="AI68" t="s">
        <v>96</v>
      </c>
      <c r="AJ68" t="s">
        <v>97</v>
      </c>
      <c r="AK68">
        <v>0</v>
      </c>
      <c r="AL68">
        <v>0</v>
      </c>
      <c r="AM68">
        <v>0</v>
      </c>
      <c r="AN68" t="s">
        <v>336</v>
      </c>
      <c r="AO68" t="s">
        <v>221</v>
      </c>
      <c r="AP68" t="s">
        <v>114</v>
      </c>
      <c r="AQ68" t="s">
        <v>72</v>
      </c>
      <c r="AR68" t="s">
        <v>72</v>
      </c>
      <c r="AS68" t="s">
        <v>72</v>
      </c>
      <c r="AT68" t="s">
        <v>72</v>
      </c>
      <c r="AU68" t="s">
        <v>72</v>
      </c>
      <c r="AV68" t="s">
        <v>217</v>
      </c>
      <c r="AW68" t="s">
        <v>72</v>
      </c>
      <c r="AX68" t="s">
        <v>307</v>
      </c>
      <c r="AY68">
        <v>39.905799899999998</v>
      </c>
      <c r="AZ68">
        <v>175</v>
      </c>
      <c r="BA68">
        <v>-1.28</v>
      </c>
      <c r="BB68">
        <v>620.44897460000004</v>
      </c>
      <c r="BC68">
        <v>-0.123186</v>
      </c>
      <c r="BD68">
        <v>0.17011599999999999</v>
      </c>
      <c r="BE68">
        <v>1733.1800536999999</v>
      </c>
      <c r="BF68">
        <v>2.7575400000000001</v>
      </c>
      <c r="BG68">
        <v>0.48412699999999997</v>
      </c>
      <c r="BH68">
        <v>-7.1383099999999997</v>
      </c>
      <c r="BI68">
        <v>0.56867100000000004</v>
      </c>
      <c r="BJ68">
        <v>1097.7199707</v>
      </c>
      <c r="BK68">
        <v>4</v>
      </c>
      <c r="BL68">
        <v>0</v>
      </c>
      <c r="BM68">
        <v>4471.1699219000002</v>
      </c>
      <c r="BN68">
        <v>6938.0498047000001</v>
      </c>
      <c r="BO68">
        <v>243.7409973</v>
      </c>
      <c r="BP68">
        <v>795</v>
      </c>
      <c r="BQ68">
        <v>5</v>
      </c>
      <c r="BR68">
        <v>3</v>
      </c>
    </row>
    <row r="69" spans="1:70" x14ac:dyDescent="0.25">
      <c r="A69">
        <v>67</v>
      </c>
      <c r="B69">
        <v>12742</v>
      </c>
      <c r="C69">
        <v>88.450796999999895</v>
      </c>
      <c r="D69">
        <v>26.946594000000001</v>
      </c>
      <c r="E69" t="s">
        <v>344</v>
      </c>
      <c r="F69">
        <v>1</v>
      </c>
      <c r="G69" t="s">
        <v>112</v>
      </c>
      <c r="H69" t="s">
        <v>72</v>
      </c>
      <c r="I69" t="s">
        <v>72</v>
      </c>
      <c r="J69" t="s">
        <v>189</v>
      </c>
      <c r="K69">
        <v>151</v>
      </c>
      <c r="L69">
        <v>71</v>
      </c>
      <c r="M69">
        <v>53</v>
      </c>
      <c r="N69">
        <v>10721</v>
      </c>
      <c r="O69" t="s">
        <v>89</v>
      </c>
      <c r="P69" t="s">
        <v>72</v>
      </c>
      <c r="Q69">
        <v>10721</v>
      </c>
      <c r="R69" t="s">
        <v>72</v>
      </c>
      <c r="S69" t="s">
        <v>73</v>
      </c>
      <c r="T69" t="s">
        <v>74</v>
      </c>
      <c r="U69" t="s">
        <v>190</v>
      </c>
      <c r="V69" t="s">
        <v>345</v>
      </c>
      <c r="W69" t="s">
        <v>208</v>
      </c>
      <c r="X69" t="s">
        <v>77</v>
      </c>
      <c r="Y69">
        <v>2004</v>
      </c>
      <c r="Z69" t="s">
        <v>72</v>
      </c>
      <c r="AA69" t="s">
        <v>72</v>
      </c>
      <c r="AB69" t="s">
        <v>72</v>
      </c>
      <c r="AC69" t="s">
        <v>72</v>
      </c>
      <c r="AD69" t="s">
        <v>72</v>
      </c>
      <c r="AE69">
        <v>0</v>
      </c>
      <c r="AF69" t="s">
        <v>148</v>
      </c>
      <c r="AG69" t="s">
        <v>94</v>
      </c>
      <c r="AH69" t="s">
        <v>95</v>
      </c>
      <c r="AI69" t="s">
        <v>210</v>
      </c>
      <c r="AJ69" t="s">
        <v>97</v>
      </c>
      <c r="AK69">
        <v>0</v>
      </c>
      <c r="AL69">
        <v>0</v>
      </c>
      <c r="AM69">
        <v>0</v>
      </c>
      <c r="AN69" t="s">
        <v>336</v>
      </c>
      <c r="AO69" t="s">
        <v>221</v>
      </c>
      <c r="AP69" t="s">
        <v>114</v>
      </c>
      <c r="AQ69" t="s">
        <v>72</v>
      </c>
      <c r="AR69" t="s">
        <v>72</v>
      </c>
      <c r="AS69" t="s">
        <v>72</v>
      </c>
      <c r="AT69" t="s">
        <v>72</v>
      </c>
      <c r="AU69" t="s">
        <v>346</v>
      </c>
      <c r="AV69" t="s">
        <v>72</v>
      </c>
      <c r="AW69" t="s">
        <v>72</v>
      </c>
      <c r="AX69" t="s">
        <v>347</v>
      </c>
      <c r="AY69">
        <v>47.676700599999997</v>
      </c>
      <c r="AZ69">
        <v>0</v>
      </c>
      <c r="BA69">
        <v>-3.2</v>
      </c>
      <c r="BB69">
        <v>489.52301030000001</v>
      </c>
      <c r="BC69">
        <v>-0.136798</v>
      </c>
      <c r="BD69">
        <v>0.15151800000000001</v>
      </c>
      <c r="BE69">
        <v>804.09100339999998</v>
      </c>
      <c r="BF69">
        <v>4.8865800000000004</v>
      </c>
      <c r="BG69">
        <v>0.46198800000000001</v>
      </c>
      <c r="BH69">
        <v>2.1401300000000001</v>
      </c>
      <c r="BI69">
        <v>1.1022400000000001</v>
      </c>
      <c r="BJ69">
        <v>100.7779999</v>
      </c>
      <c r="BK69">
        <v>4</v>
      </c>
      <c r="BL69">
        <v>0</v>
      </c>
      <c r="BM69">
        <v>3310.8000487999998</v>
      </c>
      <c r="BN69">
        <v>6540.8300780999998</v>
      </c>
      <c r="BO69">
        <v>127.5999985</v>
      </c>
      <c r="BP69">
        <v>256</v>
      </c>
      <c r="BQ69">
        <v>5</v>
      </c>
      <c r="BR69">
        <v>3</v>
      </c>
    </row>
    <row r="70" spans="1:70" x14ac:dyDescent="0.25">
      <c r="A70">
        <v>68</v>
      </c>
      <c r="B70">
        <v>12743</v>
      </c>
      <c r="C70">
        <v>88.450773999999896</v>
      </c>
      <c r="D70">
        <v>26.947482000000001</v>
      </c>
      <c r="E70" t="s">
        <v>348</v>
      </c>
      <c r="F70">
        <v>1</v>
      </c>
      <c r="G70" t="s">
        <v>112</v>
      </c>
      <c r="H70" t="s">
        <v>72</v>
      </c>
      <c r="I70" t="s">
        <v>72</v>
      </c>
      <c r="J70" t="s">
        <v>189</v>
      </c>
      <c r="K70">
        <v>199</v>
      </c>
      <c r="L70">
        <v>65</v>
      </c>
      <c r="M70">
        <v>111</v>
      </c>
      <c r="N70">
        <v>12935</v>
      </c>
      <c r="O70" t="s">
        <v>89</v>
      </c>
      <c r="P70" t="s">
        <v>72</v>
      </c>
      <c r="Q70">
        <v>12935</v>
      </c>
      <c r="R70" t="s">
        <v>72</v>
      </c>
      <c r="S70" t="s">
        <v>73</v>
      </c>
      <c r="T70" t="s">
        <v>74</v>
      </c>
      <c r="U70" t="s">
        <v>190</v>
      </c>
      <c r="V70" t="s">
        <v>349</v>
      </c>
      <c r="W70" t="s">
        <v>208</v>
      </c>
      <c r="X70" t="s">
        <v>77</v>
      </c>
      <c r="Y70">
        <v>2004</v>
      </c>
      <c r="Z70" t="s">
        <v>72</v>
      </c>
      <c r="AA70" t="s">
        <v>72</v>
      </c>
      <c r="AB70" t="s">
        <v>72</v>
      </c>
      <c r="AC70" t="s">
        <v>72</v>
      </c>
      <c r="AD70" t="s">
        <v>72</v>
      </c>
      <c r="AE70">
        <v>0</v>
      </c>
      <c r="AF70" t="s">
        <v>148</v>
      </c>
      <c r="AG70" t="s">
        <v>94</v>
      </c>
      <c r="AH70" t="s">
        <v>95</v>
      </c>
      <c r="AI70" t="s">
        <v>210</v>
      </c>
      <c r="AJ70" t="s">
        <v>97</v>
      </c>
      <c r="AK70">
        <v>0</v>
      </c>
      <c r="AL70">
        <v>0</v>
      </c>
      <c r="AM70">
        <v>0</v>
      </c>
      <c r="AN70" t="s">
        <v>336</v>
      </c>
      <c r="AO70" t="s">
        <v>82</v>
      </c>
      <c r="AP70" t="s">
        <v>114</v>
      </c>
      <c r="AQ70" t="s">
        <v>72</v>
      </c>
      <c r="AR70" t="s">
        <v>72</v>
      </c>
      <c r="AS70" t="s">
        <v>72</v>
      </c>
      <c r="AT70" t="s">
        <v>72</v>
      </c>
      <c r="AU70" t="s">
        <v>72</v>
      </c>
      <c r="AV70" t="s">
        <v>350</v>
      </c>
      <c r="AW70" t="s">
        <v>351</v>
      </c>
      <c r="AX70" t="s">
        <v>352</v>
      </c>
      <c r="AY70">
        <v>29.9876003</v>
      </c>
      <c r="AZ70">
        <v>70</v>
      </c>
      <c r="BA70">
        <v>3.2</v>
      </c>
      <c r="BB70">
        <v>532.38201900000001</v>
      </c>
      <c r="BC70">
        <v>-0.136989</v>
      </c>
      <c r="BD70">
        <v>0.155419</v>
      </c>
      <c r="BE70">
        <v>825.85198969999999</v>
      </c>
      <c r="BF70">
        <v>3.0755401</v>
      </c>
      <c r="BG70">
        <v>0.56111100000000003</v>
      </c>
      <c r="BH70">
        <v>-7.4558301</v>
      </c>
      <c r="BI70">
        <v>1.09474</v>
      </c>
      <c r="BJ70">
        <v>142.5220032</v>
      </c>
      <c r="BK70">
        <v>4</v>
      </c>
      <c r="BL70">
        <v>0</v>
      </c>
      <c r="BM70">
        <v>3217.3601073999998</v>
      </c>
      <c r="BN70">
        <v>6443.0200194999998</v>
      </c>
      <c r="BO70">
        <v>152.1029968</v>
      </c>
      <c r="BP70">
        <v>339</v>
      </c>
      <c r="BQ70">
        <v>5</v>
      </c>
      <c r="BR70">
        <v>3</v>
      </c>
    </row>
    <row r="71" spans="1:70" x14ac:dyDescent="0.25">
      <c r="A71">
        <v>69</v>
      </c>
      <c r="B71">
        <v>13402</v>
      </c>
      <c r="C71">
        <v>88.451846000000003</v>
      </c>
      <c r="D71">
        <v>26.948286</v>
      </c>
      <c r="E71" t="s">
        <v>353</v>
      </c>
      <c r="F71">
        <v>1</v>
      </c>
      <c r="G71" t="s">
        <v>112</v>
      </c>
      <c r="H71" t="s">
        <v>72</v>
      </c>
      <c r="I71" t="s">
        <v>72</v>
      </c>
      <c r="J71" t="s">
        <v>189</v>
      </c>
      <c r="K71">
        <v>143</v>
      </c>
      <c r="L71">
        <v>77</v>
      </c>
      <c r="M71">
        <v>70</v>
      </c>
      <c r="N71">
        <v>11011</v>
      </c>
      <c r="O71" t="s">
        <v>89</v>
      </c>
      <c r="P71" t="s">
        <v>72</v>
      </c>
      <c r="Q71">
        <v>11011</v>
      </c>
      <c r="R71" t="s">
        <v>72</v>
      </c>
      <c r="S71" t="s">
        <v>73</v>
      </c>
      <c r="T71" t="s">
        <v>74</v>
      </c>
      <c r="U71" t="s">
        <v>190</v>
      </c>
      <c r="V71" t="s">
        <v>354</v>
      </c>
      <c r="W71" t="s">
        <v>208</v>
      </c>
      <c r="X71" t="s">
        <v>77</v>
      </c>
      <c r="Y71">
        <v>2004</v>
      </c>
      <c r="Z71" t="s">
        <v>72</v>
      </c>
      <c r="AA71" t="s">
        <v>72</v>
      </c>
      <c r="AB71" t="s">
        <v>72</v>
      </c>
      <c r="AC71" t="s">
        <v>72</v>
      </c>
      <c r="AD71" t="s">
        <v>72</v>
      </c>
      <c r="AE71">
        <v>0</v>
      </c>
      <c r="AF71" t="s">
        <v>148</v>
      </c>
      <c r="AG71" t="s">
        <v>94</v>
      </c>
      <c r="AH71" t="s">
        <v>95</v>
      </c>
      <c r="AI71" t="s">
        <v>210</v>
      </c>
      <c r="AJ71" t="s">
        <v>97</v>
      </c>
      <c r="AK71">
        <v>0</v>
      </c>
      <c r="AL71">
        <v>0</v>
      </c>
      <c r="AM71">
        <v>0</v>
      </c>
      <c r="AN71" t="s">
        <v>336</v>
      </c>
      <c r="AO71" t="s">
        <v>82</v>
      </c>
      <c r="AP71" t="s">
        <v>114</v>
      </c>
      <c r="AQ71" t="s">
        <v>72</v>
      </c>
      <c r="AR71" t="s">
        <v>72</v>
      </c>
      <c r="AS71" t="s">
        <v>72</v>
      </c>
      <c r="AT71" t="s">
        <v>355</v>
      </c>
      <c r="AU71" t="s">
        <v>72</v>
      </c>
      <c r="AV71" t="s">
        <v>355</v>
      </c>
      <c r="AW71" t="s">
        <v>72</v>
      </c>
      <c r="AX71" t="s">
        <v>229</v>
      </c>
      <c r="AY71">
        <v>49.0177002</v>
      </c>
      <c r="AZ71">
        <v>0</v>
      </c>
      <c r="BA71">
        <v>-1.28</v>
      </c>
      <c r="BB71">
        <v>542.83801270000004</v>
      </c>
      <c r="BC71">
        <v>-0.144288</v>
      </c>
      <c r="BD71">
        <v>0.16508100000000001</v>
      </c>
      <c r="BE71">
        <v>933.40801999999996</v>
      </c>
      <c r="BF71">
        <v>5.2293000000000003</v>
      </c>
      <c r="BG71">
        <v>0.430199</v>
      </c>
      <c r="BH71">
        <v>2.6445998999999998</v>
      </c>
      <c r="BI71">
        <v>1.0791599999999999</v>
      </c>
      <c r="BJ71">
        <v>115.2440033</v>
      </c>
      <c r="BK71">
        <v>4</v>
      </c>
      <c r="BL71">
        <v>0</v>
      </c>
      <c r="BM71">
        <v>3174.3601073999998</v>
      </c>
      <c r="BN71">
        <v>6337.0097655999998</v>
      </c>
      <c r="BO71">
        <v>129.3589935</v>
      </c>
      <c r="BP71">
        <v>323</v>
      </c>
      <c r="BQ71">
        <v>5</v>
      </c>
      <c r="BR71">
        <v>3</v>
      </c>
    </row>
    <row r="72" spans="1:70" x14ac:dyDescent="0.25">
      <c r="A72">
        <v>70</v>
      </c>
      <c r="B72">
        <v>12859</v>
      </c>
      <c r="C72">
        <v>88.451650999999899</v>
      </c>
      <c r="D72">
        <v>26.979403000000001</v>
      </c>
      <c r="E72" t="s">
        <v>356</v>
      </c>
      <c r="F72">
        <v>1</v>
      </c>
      <c r="G72" t="s">
        <v>102</v>
      </c>
      <c r="H72" t="s">
        <v>72</v>
      </c>
      <c r="I72" t="s">
        <v>72</v>
      </c>
      <c r="J72" t="s">
        <v>189</v>
      </c>
      <c r="K72">
        <v>199</v>
      </c>
      <c r="L72">
        <v>55</v>
      </c>
      <c r="M72">
        <v>88</v>
      </c>
      <c r="N72">
        <v>10945</v>
      </c>
      <c r="O72" t="s">
        <v>89</v>
      </c>
      <c r="P72" t="s">
        <v>215</v>
      </c>
      <c r="Q72">
        <v>10945</v>
      </c>
      <c r="R72" t="s">
        <v>72</v>
      </c>
      <c r="S72" t="s">
        <v>73</v>
      </c>
      <c r="T72" t="s">
        <v>74</v>
      </c>
      <c r="U72" t="s">
        <v>190</v>
      </c>
      <c r="V72" t="s">
        <v>357</v>
      </c>
      <c r="W72" t="s">
        <v>208</v>
      </c>
      <c r="X72" t="s">
        <v>77</v>
      </c>
      <c r="Y72">
        <v>2011</v>
      </c>
      <c r="Z72" t="s">
        <v>72</v>
      </c>
      <c r="AA72" t="s">
        <v>72</v>
      </c>
      <c r="AB72" t="s">
        <v>72</v>
      </c>
      <c r="AC72" t="s">
        <v>72</v>
      </c>
      <c r="AD72" t="s">
        <v>72</v>
      </c>
      <c r="AE72">
        <v>0</v>
      </c>
      <c r="AF72" t="s">
        <v>79</v>
      </c>
      <c r="AG72" t="s">
        <v>94</v>
      </c>
      <c r="AH72" t="s">
        <v>95</v>
      </c>
      <c r="AI72" t="s">
        <v>96</v>
      </c>
      <c r="AJ72" t="s">
        <v>97</v>
      </c>
      <c r="AK72">
        <v>0</v>
      </c>
      <c r="AL72">
        <v>0</v>
      </c>
      <c r="AM72">
        <v>0</v>
      </c>
      <c r="AN72" t="s">
        <v>192</v>
      </c>
      <c r="AO72" t="s">
        <v>107</v>
      </c>
      <c r="AP72" t="s">
        <v>99</v>
      </c>
      <c r="AQ72" t="s">
        <v>72</v>
      </c>
      <c r="AR72" t="s">
        <v>72</v>
      </c>
      <c r="AS72" t="s">
        <v>72</v>
      </c>
      <c r="AT72" t="s">
        <v>176</v>
      </c>
      <c r="AU72" t="s">
        <v>72</v>
      </c>
      <c r="AV72" t="s">
        <v>217</v>
      </c>
      <c r="AW72" t="s">
        <v>72</v>
      </c>
      <c r="AX72" t="s">
        <v>358</v>
      </c>
      <c r="AY72">
        <v>24.5163002</v>
      </c>
      <c r="AZ72">
        <v>238</v>
      </c>
      <c r="BA72">
        <v>-1.28</v>
      </c>
      <c r="BB72">
        <v>532.56896970000003</v>
      </c>
      <c r="BC72">
        <v>-8.8490399999999997E-2</v>
      </c>
      <c r="BD72">
        <v>0.147009</v>
      </c>
      <c r="BE72">
        <v>2314.5300293</v>
      </c>
      <c r="BF72">
        <v>4.0039802</v>
      </c>
      <c r="BG72">
        <v>0.49305700000000002</v>
      </c>
      <c r="BH72">
        <v>-0.78191900000000003</v>
      </c>
      <c r="BI72">
        <v>0.35272399999999998</v>
      </c>
      <c r="BJ72">
        <v>797.26098630000001</v>
      </c>
      <c r="BK72">
        <v>4</v>
      </c>
      <c r="BL72">
        <v>26.350799599999998</v>
      </c>
      <c r="BM72">
        <v>1088.7199707</v>
      </c>
      <c r="BN72">
        <v>3058.4399414</v>
      </c>
      <c r="BO72">
        <v>307.875</v>
      </c>
      <c r="BP72">
        <v>640</v>
      </c>
      <c r="BQ72">
        <v>5</v>
      </c>
      <c r="BR72">
        <v>3</v>
      </c>
    </row>
    <row r="73" spans="1:70" x14ac:dyDescent="0.25">
      <c r="A73">
        <v>71</v>
      </c>
      <c r="B73">
        <v>12763</v>
      </c>
      <c r="C73">
        <v>88.459693999999899</v>
      </c>
      <c r="D73">
        <v>26.983180000000001</v>
      </c>
      <c r="E73" t="s">
        <v>359</v>
      </c>
      <c r="F73">
        <v>1</v>
      </c>
      <c r="G73" t="s">
        <v>112</v>
      </c>
      <c r="H73" t="s">
        <v>72</v>
      </c>
      <c r="I73" t="s">
        <v>72</v>
      </c>
      <c r="J73" t="s">
        <v>189</v>
      </c>
      <c r="K73">
        <v>150</v>
      </c>
      <c r="L73">
        <v>150</v>
      </c>
      <c r="M73">
        <v>0</v>
      </c>
      <c r="N73">
        <v>22500</v>
      </c>
      <c r="O73" t="s">
        <v>89</v>
      </c>
      <c r="P73" t="s">
        <v>72</v>
      </c>
      <c r="Q73">
        <v>22500</v>
      </c>
      <c r="R73" t="s">
        <v>72</v>
      </c>
      <c r="S73" t="s">
        <v>73</v>
      </c>
      <c r="T73" t="s">
        <v>74</v>
      </c>
      <c r="U73" t="s">
        <v>190</v>
      </c>
      <c r="V73" t="s">
        <v>360</v>
      </c>
      <c r="W73" t="s">
        <v>92</v>
      </c>
      <c r="X73" t="s">
        <v>77</v>
      </c>
      <c r="Y73">
        <v>2014</v>
      </c>
      <c r="Z73" t="s">
        <v>72</v>
      </c>
      <c r="AA73" t="s">
        <v>72</v>
      </c>
      <c r="AB73" t="s">
        <v>72</v>
      </c>
      <c r="AC73" t="s">
        <v>72</v>
      </c>
      <c r="AD73" t="s">
        <v>72</v>
      </c>
      <c r="AE73">
        <v>0</v>
      </c>
      <c r="AF73" t="s">
        <v>148</v>
      </c>
      <c r="AG73" t="s">
        <v>94</v>
      </c>
      <c r="AH73" t="s">
        <v>95</v>
      </c>
      <c r="AI73" t="s">
        <v>96</v>
      </c>
      <c r="AJ73" t="s">
        <v>97</v>
      </c>
      <c r="AK73">
        <v>0</v>
      </c>
      <c r="AL73">
        <v>0</v>
      </c>
      <c r="AM73">
        <v>0</v>
      </c>
      <c r="AN73" t="s">
        <v>336</v>
      </c>
      <c r="AO73" t="s">
        <v>221</v>
      </c>
      <c r="AP73" t="s">
        <v>114</v>
      </c>
      <c r="AQ73" t="s">
        <v>72</v>
      </c>
      <c r="AR73" t="s">
        <v>72</v>
      </c>
      <c r="AS73" t="s">
        <v>72</v>
      </c>
      <c r="AT73" t="s">
        <v>72</v>
      </c>
      <c r="AU73" t="s">
        <v>72</v>
      </c>
      <c r="AV73" t="s">
        <v>217</v>
      </c>
      <c r="AW73" t="s">
        <v>72</v>
      </c>
      <c r="AX73" t="s">
        <v>361</v>
      </c>
      <c r="AY73">
        <v>35.329101600000001</v>
      </c>
      <c r="AZ73">
        <v>55</v>
      </c>
      <c r="BA73">
        <v>1.28</v>
      </c>
      <c r="BB73">
        <v>446.0849915</v>
      </c>
      <c r="BC73">
        <v>-0.20385600000000001</v>
      </c>
      <c r="BD73">
        <v>0.236821</v>
      </c>
      <c r="BE73">
        <v>1656.2900391000001</v>
      </c>
      <c r="BF73">
        <v>5.2315301999999999</v>
      </c>
      <c r="BG73">
        <v>0.52525200000000005</v>
      </c>
      <c r="BH73">
        <v>1.99614</v>
      </c>
      <c r="BI73">
        <v>0.19944000000000001</v>
      </c>
      <c r="BJ73">
        <v>709.42297359999998</v>
      </c>
      <c r="BK73">
        <v>4</v>
      </c>
      <c r="BL73">
        <v>0</v>
      </c>
      <c r="BM73">
        <v>1804.5100098</v>
      </c>
      <c r="BN73">
        <v>2393.0200195000002</v>
      </c>
      <c r="BO73">
        <v>106.38999939999999</v>
      </c>
      <c r="BP73">
        <v>666</v>
      </c>
      <c r="BQ73">
        <v>5</v>
      </c>
      <c r="BR73">
        <v>7</v>
      </c>
    </row>
    <row r="74" spans="1:70" x14ac:dyDescent="0.25">
      <c r="A74">
        <v>72</v>
      </c>
      <c r="B74">
        <v>12764</v>
      </c>
      <c r="C74">
        <v>88.461843000000002</v>
      </c>
      <c r="D74">
        <v>26.983927000000001</v>
      </c>
      <c r="E74" t="s">
        <v>362</v>
      </c>
      <c r="F74">
        <v>1</v>
      </c>
      <c r="G74" t="s">
        <v>112</v>
      </c>
      <c r="H74" t="s">
        <v>72</v>
      </c>
      <c r="I74" t="s">
        <v>72</v>
      </c>
      <c r="J74" t="s">
        <v>189</v>
      </c>
      <c r="K74">
        <v>86</v>
      </c>
      <c r="L74">
        <v>22</v>
      </c>
      <c r="M74">
        <v>0</v>
      </c>
      <c r="N74">
        <v>1892</v>
      </c>
      <c r="O74" t="s">
        <v>89</v>
      </c>
      <c r="P74" t="s">
        <v>72</v>
      </c>
      <c r="Q74">
        <v>1892</v>
      </c>
      <c r="R74" t="s">
        <v>72</v>
      </c>
      <c r="S74" t="s">
        <v>73</v>
      </c>
      <c r="T74" t="s">
        <v>74</v>
      </c>
      <c r="U74" t="s">
        <v>190</v>
      </c>
      <c r="V74" t="s">
        <v>360</v>
      </c>
      <c r="W74" t="s">
        <v>92</v>
      </c>
      <c r="X74" t="s">
        <v>77</v>
      </c>
      <c r="Y74">
        <v>2014</v>
      </c>
      <c r="Z74" t="s">
        <v>72</v>
      </c>
      <c r="AA74" t="s">
        <v>72</v>
      </c>
      <c r="AB74" t="s">
        <v>72</v>
      </c>
      <c r="AC74" t="s">
        <v>72</v>
      </c>
      <c r="AD74" t="s">
        <v>72</v>
      </c>
      <c r="AE74">
        <v>0</v>
      </c>
      <c r="AF74" t="s">
        <v>148</v>
      </c>
      <c r="AG74" t="s">
        <v>94</v>
      </c>
      <c r="AH74" t="s">
        <v>95</v>
      </c>
      <c r="AI74" t="s">
        <v>96</v>
      </c>
      <c r="AJ74" t="s">
        <v>97</v>
      </c>
      <c r="AK74">
        <v>0</v>
      </c>
      <c r="AL74">
        <v>0</v>
      </c>
      <c r="AM74">
        <v>0</v>
      </c>
      <c r="AN74" t="s">
        <v>336</v>
      </c>
      <c r="AO74" t="s">
        <v>82</v>
      </c>
      <c r="AP74" t="s">
        <v>114</v>
      </c>
      <c r="AQ74" t="s">
        <v>72</v>
      </c>
      <c r="AR74" t="s">
        <v>72</v>
      </c>
      <c r="AS74" t="s">
        <v>72</v>
      </c>
      <c r="AT74" t="s">
        <v>72</v>
      </c>
      <c r="AU74" t="s">
        <v>72</v>
      </c>
      <c r="AV74" t="s">
        <v>217</v>
      </c>
      <c r="AW74" t="s">
        <v>72</v>
      </c>
      <c r="AX74" t="s">
        <v>363</v>
      </c>
      <c r="AY74">
        <v>32.272701300000001</v>
      </c>
      <c r="AZ74">
        <v>72</v>
      </c>
      <c r="BA74">
        <v>-0.64</v>
      </c>
      <c r="BB74">
        <v>445.05300899999997</v>
      </c>
      <c r="BC74">
        <v>-0.20336499999999999</v>
      </c>
      <c r="BD74">
        <v>0.24515899999999999</v>
      </c>
      <c r="BE74">
        <v>1502.0799560999999</v>
      </c>
      <c r="BF74">
        <v>6.2042498999999998</v>
      </c>
      <c r="BG74">
        <v>0.45029200000000003</v>
      </c>
      <c r="BH74">
        <v>2.7200300999999998</v>
      </c>
      <c r="BI74">
        <v>0.244615</v>
      </c>
      <c r="BJ74">
        <v>482.99200439999998</v>
      </c>
      <c r="BK74">
        <v>4</v>
      </c>
      <c r="BL74">
        <v>0</v>
      </c>
      <c r="BM74">
        <v>1997.6500243999999</v>
      </c>
      <c r="BN74">
        <v>2269.9099120999999</v>
      </c>
      <c r="BO74">
        <v>100.95400239999999</v>
      </c>
      <c r="BP74">
        <v>576</v>
      </c>
      <c r="BQ74">
        <v>5</v>
      </c>
      <c r="BR74">
        <v>7</v>
      </c>
    </row>
    <row r="75" spans="1:70" x14ac:dyDescent="0.25">
      <c r="A75">
        <v>73</v>
      </c>
      <c r="B75">
        <v>12761</v>
      </c>
      <c r="C75">
        <v>88.465283999999897</v>
      </c>
      <c r="D75">
        <v>26.984995999999899</v>
      </c>
      <c r="E75" t="s">
        <v>364</v>
      </c>
      <c r="F75">
        <v>1</v>
      </c>
      <c r="G75" t="s">
        <v>102</v>
      </c>
      <c r="H75" t="s">
        <v>72</v>
      </c>
      <c r="I75" t="s">
        <v>72</v>
      </c>
      <c r="J75" t="s">
        <v>189</v>
      </c>
      <c r="K75">
        <v>191</v>
      </c>
      <c r="L75">
        <v>48</v>
      </c>
      <c r="M75">
        <v>0</v>
      </c>
      <c r="N75">
        <v>9168</v>
      </c>
      <c r="O75" t="s">
        <v>89</v>
      </c>
      <c r="P75" t="s">
        <v>72</v>
      </c>
      <c r="Q75">
        <v>9168</v>
      </c>
      <c r="R75" t="s">
        <v>72</v>
      </c>
      <c r="S75" t="s">
        <v>73</v>
      </c>
      <c r="T75" t="s">
        <v>74</v>
      </c>
      <c r="U75" t="s">
        <v>190</v>
      </c>
      <c r="V75" t="s">
        <v>360</v>
      </c>
      <c r="W75" t="s">
        <v>92</v>
      </c>
      <c r="X75" t="s">
        <v>77</v>
      </c>
      <c r="Y75">
        <v>2014</v>
      </c>
      <c r="Z75" t="s">
        <v>72</v>
      </c>
      <c r="AA75" t="s">
        <v>72</v>
      </c>
      <c r="AB75" t="s">
        <v>72</v>
      </c>
      <c r="AC75" t="s">
        <v>72</v>
      </c>
      <c r="AD75" t="s">
        <v>72</v>
      </c>
      <c r="AE75">
        <v>0</v>
      </c>
      <c r="AF75" t="s">
        <v>79</v>
      </c>
      <c r="AG75" t="s">
        <v>94</v>
      </c>
      <c r="AH75" t="s">
        <v>95</v>
      </c>
      <c r="AI75" t="s">
        <v>96</v>
      </c>
      <c r="AJ75" t="s">
        <v>97</v>
      </c>
      <c r="AK75">
        <v>0</v>
      </c>
      <c r="AL75">
        <v>0</v>
      </c>
      <c r="AM75">
        <v>0</v>
      </c>
      <c r="AN75" t="s">
        <v>336</v>
      </c>
      <c r="AO75" t="s">
        <v>82</v>
      </c>
      <c r="AP75" t="s">
        <v>114</v>
      </c>
      <c r="AQ75" t="s">
        <v>72</v>
      </c>
      <c r="AR75" t="s">
        <v>72</v>
      </c>
      <c r="AS75" t="s">
        <v>72</v>
      </c>
      <c r="AT75" t="s">
        <v>72</v>
      </c>
      <c r="AU75" t="s">
        <v>72</v>
      </c>
      <c r="AV75" t="s">
        <v>217</v>
      </c>
      <c r="AW75" t="s">
        <v>72</v>
      </c>
      <c r="AX75" t="s">
        <v>223</v>
      </c>
      <c r="AY75">
        <v>11.1153002</v>
      </c>
      <c r="AZ75">
        <v>146</v>
      </c>
      <c r="BA75">
        <v>0.64</v>
      </c>
      <c r="BB75">
        <v>391.16400149999998</v>
      </c>
      <c r="BC75">
        <v>-0.20876</v>
      </c>
      <c r="BD75">
        <v>0.25479800000000002</v>
      </c>
      <c r="BE75">
        <v>1276.7800293</v>
      </c>
      <c r="BF75">
        <v>4.8461299000000002</v>
      </c>
      <c r="BG75">
        <v>0.5</v>
      </c>
      <c r="BH75">
        <v>-1.62117</v>
      </c>
      <c r="BI75">
        <v>0.53449800000000003</v>
      </c>
      <c r="BJ75">
        <v>138.06700129999999</v>
      </c>
      <c r="BK75">
        <v>4</v>
      </c>
      <c r="BL75">
        <v>0</v>
      </c>
      <c r="BM75">
        <v>2307.7700195000002</v>
      </c>
      <c r="BN75">
        <v>2125.3300780999998</v>
      </c>
      <c r="BO75">
        <v>104.7440033</v>
      </c>
      <c r="BP75">
        <v>486</v>
      </c>
      <c r="BQ75">
        <v>5</v>
      </c>
      <c r="BR75">
        <v>7</v>
      </c>
    </row>
    <row r="76" spans="1:70" x14ac:dyDescent="0.25">
      <c r="A76">
        <v>74</v>
      </c>
      <c r="B76">
        <v>13406</v>
      </c>
      <c r="C76">
        <v>88.455018999999893</v>
      </c>
      <c r="D76">
        <v>26.98612</v>
      </c>
      <c r="E76" t="s">
        <v>365</v>
      </c>
      <c r="F76">
        <v>1</v>
      </c>
      <c r="G76" t="s">
        <v>188</v>
      </c>
      <c r="H76" t="s">
        <v>72</v>
      </c>
      <c r="I76" t="s">
        <v>72</v>
      </c>
      <c r="J76" t="s">
        <v>189</v>
      </c>
      <c r="K76">
        <v>267</v>
      </c>
      <c r="L76">
        <v>68</v>
      </c>
      <c r="M76">
        <v>110</v>
      </c>
      <c r="N76">
        <v>18156</v>
      </c>
      <c r="O76" t="s">
        <v>89</v>
      </c>
      <c r="P76" t="s">
        <v>72</v>
      </c>
      <c r="Q76">
        <v>18156</v>
      </c>
      <c r="R76" t="s">
        <v>72</v>
      </c>
      <c r="S76" t="s">
        <v>73</v>
      </c>
      <c r="T76" t="s">
        <v>74</v>
      </c>
      <c r="U76" t="s">
        <v>190</v>
      </c>
      <c r="V76" t="s">
        <v>366</v>
      </c>
      <c r="W76" t="s">
        <v>208</v>
      </c>
      <c r="X76" t="s">
        <v>77</v>
      </c>
      <c r="Y76">
        <v>2004</v>
      </c>
      <c r="Z76" t="s">
        <v>72</v>
      </c>
      <c r="AA76" t="s">
        <v>72</v>
      </c>
      <c r="AB76" t="s">
        <v>72</v>
      </c>
      <c r="AC76" t="s">
        <v>72</v>
      </c>
      <c r="AD76" t="s">
        <v>72</v>
      </c>
      <c r="AE76">
        <v>0</v>
      </c>
      <c r="AF76" t="s">
        <v>79</v>
      </c>
      <c r="AG76" t="s">
        <v>94</v>
      </c>
      <c r="AH76" t="s">
        <v>95</v>
      </c>
      <c r="AI76" t="s">
        <v>210</v>
      </c>
      <c r="AJ76" t="s">
        <v>97</v>
      </c>
      <c r="AK76">
        <v>0</v>
      </c>
      <c r="AL76">
        <v>0</v>
      </c>
      <c r="AM76">
        <v>0</v>
      </c>
      <c r="AN76" t="s">
        <v>192</v>
      </c>
      <c r="AO76" t="s">
        <v>82</v>
      </c>
      <c r="AP76" t="s">
        <v>99</v>
      </c>
      <c r="AQ76" t="s">
        <v>72</v>
      </c>
      <c r="AR76" t="s">
        <v>72</v>
      </c>
      <c r="AS76" t="s">
        <v>72</v>
      </c>
      <c r="AT76" t="s">
        <v>367</v>
      </c>
      <c r="AU76" t="s">
        <v>72</v>
      </c>
      <c r="AV76" t="s">
        <v>72</v>
      </c>
      <c r="AW76" t="s">
        <v>72</v>
      </c>
      <c r="AX76" t="s">
        <v>368</v>
      </c>
      <c r="AY76">
        <v>34.3362999</v>
      </c>
      <c r="AZ76">
        <v>102</v>
      </c>
      <c r="BA76">
        <v>-0.64</v>
      </c>
      <c r="BB76">
        <v>446.33300780000002</v>
      </c>
      <c r="BC76">
        <v>-0.13195299999999999</v>
      </c>
      <c r="BD76">
        <v>0.17643300000000001</v>
      </c>
      <c r="BE76">
        <v>1498.3800048999999</v>
      </c>
      <c r="BF76">
        <v>6.8771601000000002</v>
      </c>
      <c r="BG76">
        <v>0.51010100000000003</v>
      </c>
      <c r="BH76">
        <v>3.5715799000000001</v>
      </c>
      <c r="BI76">
        <v>0.378357</v>
      </c>
      <c r="BJ76">
        <v>1097.5100098</v>
      </c>
      <c r="BK76">
        <v>4</v>
      </c>
      <c r="BL76">
        <v>23.907199899999998</v>
      </c>
      <c r="BM76">
        <v>1279.8900146000001</v>
      </c>
      <c r="BN76">
        <v>2241.7199707</v>
      </c>
      <c r="BO76">
        <v>72.095596299999997</v>
      </c>
      <c r="BP76">
        <v>582</v>
      </c>
      <c r="BQ76">
        <v>5</v>
      </c>
      <c r="BR76">
        <v>3</v>
      </c>
    </row>
    <row r="77" spans="1:70" x14ac:dyDescent="0.25">
      <c r="A77">
        <v>75</v>
      </c>
      <c r="B77">
        <v>12707</v>
      </c>
      <c r="C77">
        <v>88.465663000000006</v>
      </c>
      <c r="D77">
        <v>26.986622000000001</v>
      </c>
      <c r="E77" t="s">
        <v>369</v>
      </c>
      <c r="F77">
        <v>1</v>
      </c>
      <c r="G77" t="s">
        <v>188</v>
      </c>
      <c r="H77" t="s">
        <v>72</v>
      </c>
      <c r="I77" t="s">
        <v>72</v>
      </c>
      <c r="J77" t="s">
        <v>189</v>
      </c>
      <c r="K77">
        <v>276</v>
      </c>
      <c r="L77">
        <v>102</v>
      </c>
      <c r="M77">
        <v>101</v>
      </c>
      <c r="N77">
        <v>28152</v>
      </c>
      <c r="O77" t="s">
        <v>89</v>
      </c>
      <c r="P77" t="s">
        <v>72</v>
      </c>
      <c r="Q77">
        <v>28152</v>
      </c>
      <c r="R77" t="s">
        <v>72</v>
      </c>
      <c r="S77" t="s">
        <v>73</v>
      </c>
      <c r="T77" t="s">
        <v>74</v>
      </c>
      <c r="U77" t="s">
        <v>190</v>
      </c>
      <c r="V77" t="s">
        <v>370</v>
      </c>
      <c r="W77" t="s">
        <v>208</v>
      </c>
      <c r="X77" t="s">
        <v>77</v>
      </c>
      <c r="Y77">
        <v>2004</v>
      </c>
      <c r="Z77" t="s">
        <v>72</v>
      </c>
      <c r="AA77" t="s">
        <v>72</v>
      </c>
      <c r="AB77" t="s">
        <v>72</v>
      </c>
      <c r="AC77" t="s">
        <v>72</v>
      </c>
      <c r="AD77" t="s">
        <v>72</v>
      </c>
      <c r="AE77">
        <v>0</v>
      </c>
      <c r="AF77" t="s">
        <v>79</v>
      </c>
      <c r="AG77" t="s">
        <v>94</v>
      </c>
      <c r="AH77" t="s">
        <v>95</v>
      </c>
      <c r="AI77" t="s">
        <v>210</v>
      </c>
      <c r="AJ77" t="s">
        <v>97</v>
      </c>
      <c r="AK77">
        <v>0</v>
      </c>
      <c r="AL77">
        <v>0</v>
      </c>
      <c r="AM77">
        <v>0</v>
      </c>
      <c r="AN77" t="s">
        <v>336</v>
      </c>
      <c r="AO77" t="s">
        <v>107</v>
      </c>
      <c r="AP77" t="s">
        <v>200</v>
      </c>
      <c r="AQ77" t="s">
        <v>72</v>
      </c>
      <c r="AR77" t="s">
        <v>72</v>
      </c>
      <c r="AS77" t="s">
        <v>72</v>
      </c>
      <c r="AT77" t="s">
        <v>176</v>
      </c>
      <c r="AU77" t="s">
        <v>72</v>
      </c>
      <c r="AV77" t="s">
        <v>72</v>
      </c>
      <c r="AW77" t="s">
        <v>72</v>
      </c>
      <c r="AX77" t="s">
        <v>197</v>
      </c>
      <c r="AY77">
        <v>21.801399199999999</v>
      </c>
      <c r="AZ77">
        <v>120</v>
      </c>
      <c r="BA77">
        <v>0</v>
      </c>
      <c r="BB77">
        <v>391.16400149999998</v>
      </c>
      <c r="BC77">
        <v>-0.162416</v>
      </c>
      <c r="BD77">
        <v>0.185394</v>
      </c>
      <c r="BE77">
        <v>1099.0100098</v>
      </c>
      <c r="BF77">
        <v>7.3932599999999997</v>
      </c>
      <c r="BG77">
        <v>0.5</v>
      </c>
      <c r="BH77">
        <v>3.0180500000000001</v>
      </c>
      <c r="BI77">
        <v>0.70276499999999997</v>
      </c>
      <c r="BJ77">
        <v>175</v>
      </c>
      <c r="BK77">
        <v>4</v>
      </c>
      <c r="BL77">
        <v>0</v>
      </c>
      <c r="BM77">
        <v>2316.0400390999998</v>
      </c>
      <c r="BN77">
        <v>1951.4399414</v>
      </c>
      <c r="BO77">
        <v>90</v>
      </c>
      <c r="BP77">
        <v>500</v>
      </c>
      <c r="BQ77">
        <v>5</v>
      </c>
      <c r="BR77">
        <v>7</v>
      </c>
    </row>
    <row r="78" spans="1:70" x14ac:dyDescent="0.25">
      <c r="A78">
        <v>76</v>
      </c>
      <c r="B78">
        <v>13430</v>
      </c>
      <c r="C78">
        <v>88.455215999999893</v>
      </c>
      <c r="D78">
        <v>26.987192</v>
      </c>
      <c r="E78" t="s">
        <v>371</v>
      </c>
      <c r="F78">
        <v>1</v>
      </c>
      <c r="G78" t="s">
        <v>188</v>
      </c>
      <c r="H78" t="s">
        <v>72</v>
      </c>
      <c r="I78" t="s">
        <v>72</v>
      </c>
      <c r="J78" t="s">
        <v>189</v>
      </c>
      <c r="K78">
        <v>244</v>
      </c>
      <c r="L78">
        <v>25</v>
      </c>
      <c r="M78">
        <v>87</v>
      </c>
      <c r="N78">
        <v>6100</v>
      </c>
      <c r="O78" t="s">
        <v>89</v>
      </c>
      <c r="P78" t="s">
        <v>72</v>
      </c>
      <c r="Q78">
        <v>6100</v>
      </c>
      <c r="R78" t="s">
        <v>72</v>
      </c>
      <c r="S78" t="s">
        <v>73</v>
      </c>
      <c r="T78" t="s">
        <v>74</v>
      </c>
      <c r="U78" t="s">
        <v>190</v>
      </c>
      <c r="V78" t="s">
        <v>372</v>
      </c>
      <c r="W78" t="s">
        <v>76</v>
      </c>
      <c r="X78" t="s">
        <v>77</v>
      </c>
      <c r="Y78">
        <v>2004</v>
      </c>
      <c r="Z78" t="s">
        <v>72</v>
      </c>
      <c r="AA78" t="s">
        <v>72</v>
      </c>
      <c r="AB78" t="s">
        <v>72</v>
      </c>
      <c r="AC78" t="s">
        <v>72</v>
      </c>
      <c r="AD78" t="s">
        <v>72</v>
      </c>
      <c r="AE78">
        <v>0</v>
      </c>
      <c r="AF78" t="s">
        <v>79</v>
      </c>
      <c r="AG78" t="s">
        <v>94</v>
      </c>
      <c r="AH78" t="s">
        <v>95</v>
      </c>
      <c r="AI78" t="s">
        <v>96</v>
      </c>
      <c r="AJ78" t="s">
        <v>97</v>
      </c>
      <c r="AK78">
        <v>0</v>
      </c>
      <c r="AL78">
        <v>0</v>
      </c>
      <c r="AM78">
        <v>0</v>
      </c>
      <c r="AN78" t="s">
        <v>192</v>
      </c>
      <c r="AO78" t="s">
        <v>82</v>
      </c>
      <c r="AP78" t="s">
        <v>99</v>
      </c>
      <c r="AQ78" t="s">
        <v>72</v>
      </c>
      <c r="AR78" t="s">
        <v>72</v>
      </c>
      <c r="AS78" t="s">
        <v>72</v>
      </c>
      <c r="AT78" t="s">
        <v>176</v>
      </c>
      <c r="AU78" t="s">
        <v>72</v>
      </c>
      <c r="AV78" t="s">
        <v>72</v>
      </c>
      <c r="AW78" t="s">
        <v>72</v>
      </c>
      <c r="AX78" t="s">
        <v>197</v>
      </c>
      <c r="AY78">
        <v>33.895698500000002</v>
      </c>
      <c r="AZ78">
        <v>84</v>
      </c>
      <c r="BA78">
        <v>1.28</v>
      </c>
      <c r="BB78">
        <v>430.81698610000001</v>
      </c>
      <c r="BC78">
        <v>-0.17300399999999999</v>
      </c>
      <c r="BD78">
        <v>0.22109400000000001</v>
      </c>
      <c r="BE78">
        <v>1384.0600586</v>
      </c>
      <c r="BF78">
        <v>5.9985600000000003</v>
      </c>
      <c r="BG78">
        <v>0.48148299999999999</v>
      </c>
      <c r="BH78">
        <v>2.6642499000000002</v>
      </c>
      <c r="BI78">
        <v>0.44993100000000003</v>
      </c>
      <c r="BJ78">
        <v>982.34399410000003</v>
      </c>
      <c r="BK78">
        <v>4</v>
      </c>
      <c r="BL78">
        <v>23.907199899999998</v>
      </c>
      <c r="BM78">
        <v>1284.6400146000001</v>
      </c>
      <c r="BN78">
        <v>2129.8798827999999</v>
      </c>
      <c r="BO78">
        <v>85.732101400000005</v>
      </c>
      <c r="BP78">
        <v>555</v>
      </c>
      <c r="BQ78">
        <v>5</v>
      </c>
      <c r="BR78">
        <v>3</v>
      </c>
    </row>
    <row r="79" spans="1:70" x14ac:dyDescent="0.25">
      <c r="A79">
        <v>77</v>
      </c>
      <c r="B79">
        <v>13407</v>
      </c>
      <c r="C79">
        <v>88.455813000000006</v>
      </c>
      <c r="D79">
        <v>26.987943000000001</v>
      </c>
      <c r="E79" t="s">
        <v>373</v>
      </c>
      <c r="F79">
        <v>1</v>
      </c>
      <c r="G79" t="s">
        <v>102</v>
      </c>
      <c r="H79" t="s">
        <v>72</v>
      </c>
      <c r="I79" t="s">
        <v>72</v>
      </c>
      <c r="J79" t="s">
        <v>189</v>
      </c>
      <c r="K79">
        <v>197</v>
      </c>
      <c r="L79">
        <v>41</v>
      </c>
      <c r="M79">
        <v>87</v>
      </c>
      <c r="N79">
        <v>8077</v>
      </c>
      <c r="O79" t="s">
        <v>89</v>
      </c>
      <c r="P79" t="s">
        <v>72</v>
      </c>
      <c r="Q79">
        <v>8077</v>
      </c>
      <c r="R79" t="s">
        <v>72</v>
      </c>
      <c r="S79" t="s">
        <v>73</v>
      </c>
      <c r="T79" t="s">
        <v>74</v>
      </c>
      <c r="U79" t="s">
        <v>190</v>
      </c>
      <c r="V79" t="s">
        <v>374</v>
      </c>
      <c r="W79" t="s">
        <v>208</v>
      </c>
      <c r="X79" t="s">
        <v>77</v>
      </c>
      <c r="Y79">
        <v>2004</v>
      </c>
      <c r="Z79" t="s">
        <v>72</v>
      </c>
      <c r="AA79" t="s">
        <v>72</v>
      </c>
      <c r="AB79" t="s">
        <v>72</v>
      </c>
      <c r="AC79" t="s">
        <v>72</v>
      </c>
      <c r="AD79" t="s">
        <v>72</v>
      </c>
      <c r="AE79">
        <v>0</v>
      </c>
      <c r="AF79" t="s">
        <v>79</v>
      </c>
      <c r="AG79" t="s">
        <v>94</v>
      </c>
      <c r="AH79" t="s">
        <v>95</v>
      </c>
      <c r="AI79" t="s">
        <v>210</v>
      </c>
      <c r="AJ79" t="s">
        <v>97</v>
      </c>
      <c r="AK79">
        <v>0</v>
      </c>
      <c r="AL79">
        <v>0</v>
      </c>
      <c r="AM79">
        <v>0</v>
      </c>
      <c r="AN79" t="s">
        <v>192</v>
      </c>
      <c r="AO79" t="s">
        <v>82</v>
      </c>
      <c r="AP79" t="s">
        <v>99</v>
      </c>
      <c r="AQ79" t="s">
        <v>72</v>
      </c>
      <c r="AR79" t="s">
        <v>72</v>
      </c>
      <c r="AS79" t="s">
        <v>72</v>
      </c>
      <c r="AT79" t="s">
        <v>375</v>
      </c>
      <c r="AU79" t="s">
        <v>72</v>
      </c>
      <c r="AV79" t="s">
        <v>72</v>
      </c>
      <c r="AW79" t="s">
        <v>72</v>
      </c>
      <c r="AX79" t="s">
        <v>376</v>
      </c>
      <c r="AY79">
        <v>20.911800400000001</v>
      </c>
      <c r="AZ79">
        <v>118</v>
      </c>
      <c r="BA79">
        <v>0.64</v>
      </c>
      <c r="BB79">
        <v>430.81698610000001</v>
      </c>
      <c r="BC79">
        <v>-0.19239999999999999</v>
      </c>
      <c r="BD79">
        <v>0.246951</v>
      </c>
      <c r="BE79">
        <v>1280.75</v>
      </c>
      <c r="BF79">
        <v>6.4835400999999999</v>
      </c>
      <c r="BG79">
        <v>0.48889199999999999</v>
      </c>
      <c r="BH79">
        <v>1.9850300999999999</v>
      </c>
      <c r="BI79">
        <v>0.48612</v>
      </c>
      <c r="BJ79">
        <v>882.64501949999999</v>
      </c>
      <c r="BK79">
        <v>4</v>
      </c>
      <c r="BL79">
        <v>16.3248997</v>
      </c>
      <c r="BM79">
        <v>1331.6500243999999</v>
      </c>
      <c r="BN79">
        <v>2023.6500243999999</v>
      </c>
      <c r="BO79">
        <v>96.009002699999996</v>
      </c>
      <c r="BP79">
        <v>521</v>
      </c>
      <c r="BQ79">
        <v>5</v>
      </c>
      <c r="BR79">
        <v>3</v>
      </c>
    </row>
    <row r="80" spans="1:70" x14ac:dyDescent="0.25">
      <c r="A80">
        <v>78</v>
      </c>
      <c r="B80">
        <v>13431</v>
      </c>
      <c r="C80">
        <v>88.457040000000006</v>
      </c>
      <c r="D80">
        <v>26.9895029999999</v>
      </c>
      <c r="E80" t="s">
        <v>377</v>
      </c>
      <c r="F80">
        <v>1</v>
      </c>
      <c r="G80" t="s">
        <v>188</v>
      </c>
      <c r="H80" t="s">
        <v>72</v>
      </c>
      <c r="I80" t="s">
        <v>72</v>
      </c>
      <c r="J80" t="s">
        <v>189</v>
      </c>
      <c r="K80">
        <v>79</v>
      </c>
      <c r="L80">
        <v>51</v>
      </c>
      <c r="M80">
        <v>27</v>
      </c>
      <c r="N80">
        <v>4029</v>
      </c>
      <c r="O80" t="s">
        <v>89</v>
      </c>
      <c r="P80" t="s">
        <v>72</v>
      </c>
      <c r="Q80">
        <v>4029</v>
      </c>
      <c r="R80" t="s">
        <v>72</v>
      </c>
      <c r="S80" t="s">
        <v>73</v>
      </c>
      <c r="T80" t="s">
        <v>74</v>
      </c>
      <c r="U80" t="s">
        <v>190</v>
      </c>
      <c r="V80" t="s">
        <v>378</v>
      </c>
      <c r="W80" t="s">
        <v>76</v>
      </c>
      <c r="X80" t="s">
        <v>77</v>
      </c>
      <c r="Y80">
        <v>2004</v>
      </c>
      <c r="Z80" t="s">
        <v>72</v>
      </c>
      <c r="AA80" t="s">
        <v>72</v>
      </c>
      <c r="AB80" t="s">
        <v>72</v>
      </c>
      <c r="AC80" t="s">
        <v>72</v>
      </c>
      <c r="AD80" t="s">
        <v>72</v>
      </c>
      <c r="AE80">
        <v>0</v>
      </c>
      <c r="AF80" t="s">
        <v>79</v>
      </c>
      <c r="AG80" t="s">
        <v>94</v>
      </c>
      <c r="AH80" t="s">
        <v>95</v>
      </c>
      <c r="AI80" t="s">
        <v>96</v>
      </c>
      <c r="AJ80" t="s">
        <v>97</v>
      </c>
      <c r="AK80">
        <v>0</v>
      </c>
      <c r="AL80">
        <v>0</v>
      </c>
      <c r="AM80">
        <v>0</v>
      </c>
      <c r="AN80" t="s">
        <v>192</v>
      </c>
      <c r="AO80" t="s">
        <v>82</v>
      </c>
      <c r="AP80" t="s">
        <v>99</v>
      </c>
      <c r="AQ80" t="s">
        <v>72</v>
      </c>
      <c r="AR80" t="s">
        <v>72</v>
      </c>
      <c r="AS80" t="s">
        <v>72</v>
      </c>
      <c r="AT80" t="s">
        <v>176</v>
      </c>
      <c r="AU80" t="s">
        <v>72</v>
      </c>
      <c r="AV80" t="s">
        <v>72</v>
      </c>
      <c r="AW80" t="s">
        <v>72</v>
      </c>
      <c r="AX80" t="s">
        <v>379</v>
      </c>
      <c r="AY80">
        <v>30.630399700000002</v>
      </c>
      <c r="AZ80">
        <v>95</v>
      </c>
      <c r="BA80">
        <v>1.28</v>
      </c>
      <c r="BB80">
        <v>395.7149963</v>
      </c>
      <c r="BC80">
        <v>-0.18640000000000001</v>
      </c>
      <c r="BD80">
        <v>0.23252100000000001</v>
      </c>
      <c r="BE80">
        <v>1079.1300048999999</v>
      </c>
      <c r="BF80">
        <v>6.5761399000000003</v>
      </c>
      <c r="BG80">
        <v>0.47916599999999998</v>
      </c>
      <c r="BH80">
        <v>2.97417</v>
      </c>
      <c r="BI80">
        <v>0.468866</v>
      </c>
      <c r="BJ80">
        <v>691.57897949999995</v>
      </c>
      <c r="BK80">
        <v>4</v>
      </c>
      <c r="BL80">
        <v>16.3248997</v>
      </c>
      <c r="BM80">
        <v>1412.1099853999999</v>
      </c>
      <c r="BN80">
        <v>1817.0200195</v>
      </c>
      <c r="BO80">
        <v>85.155998199999999</v>
      </c>
      <c r="BP80">
        <v>481</v>
      </c>
      <c r="BQ80">
        <v>5</v>
      </c>
      <c r="BR80">
        <v>3</v>
      </c>
    </row>
    <row r="81" spans="1:70" x14ac:dyDescent="0.25">
      <c r="A81">
        <v>79</v>
      </c>
      <c r="B81">
        <v>13432</v>
      </c>
      <c r="C81">
        <v>88.459661999999895</v>
      </c>
      <c r="D81">
        <v>26.989840999999899</v>
      </c>
      <c r="E81" t="s">
        <v>380</v>
      </c>
      <c r="F81">
        <v>1</v>
      </c>
      <c r="G81" t="s">
        <v>102</v>
      </c>
      <c r="H81" t="s">
        <v>72</v>
      </c>
      <c r="I81" t="s">
        <v>72</v>
      </c>
      <c r="J81" t="s">
        <v>189</v>
      </c>
      <c r="K81">
        <v>117</v>
      </c>
      <c r="L81">
        <v>85</v>
      </c>
      <c r="M81">
        <v>78</v>
      </c>
      <c r="N81">
        <v>9945</v>
      </c>
      <c r="O81" t="s">
        <v>89</v>
      </c>
      <c r="P81" t="s">
        <v>72</v>
      </c>
      <c r="Q81">
        <v>9945</v>
      </c>
      <c r="R81" t="s">
        <v>72</v>
      </c>
      <c r="S81" t="s">
        <v>73</v>
      </c>
      <c r="T81" t="s">
        <v>74</v>
      </c>
      <c r="U81" t="s">
        <v>190</v>
      </c>
      <c r="V81" t="s">
        <v>381</v>
      </c>
      <c r="W81" t="s">
        <v>208</v>
      </c>
      <c r="X81" t="s">
        <v>77</v>
      </c>
      <c r="Y81">
        <v>2004</v>
      </c>
      <c r="Z81" t="s">
        <v>72</v>
      </c>
      <c r="AA81" t="s">
        <v>72</v>
      </c>
      <c r="AB81" t="s">
        <v>72</v>
      </c>
      <c r="AC81" t="s">
        <v>72</v>
      </c>
      <c r="AD81" t="s">
        <v>72</v>
      </c>
      <c r="AE81">
        <v>0</v>
      </c>
      <c r="AF81" t="s">
        <v>79</v>
      </c>
      <c r="AG81" t="s">
        <v>94</v>
      </c>
      <c r="AH81" t="s">
        <v>95</v>
      </c>
      <c r="AI81" t="s">
        <v>210</v>
      </c>
      <c r="AJ81" t="s">
        <v>97</v>
      </c>
      <c r="AK81">
        <v>0</v>
      </c>
      <c r="AL81">
        <v>0</v>
      </c>
      <c r="AM81">
        <v>0</v>
      </c>
      <c r="AN81" t="s">
        <v>192</v>
      </c>
      <c r="AO81" t="s">
        <v>82</v>
      </c>
      <c r="AP81" t="s">
        <v>99</v>
      </c>
      <c r="AQ81" t="s">
        <v>72</v>
      </c>
      <c r="AR81" t="s">
        <v>72</v>
      </c>
      <c r="AS81" t="s">
        <v>72</v>
      </c>
      <c r="AT81" t="s">
        <v>176</v>
      </c>
      <c r="AU81" t="s">
        <v>72</v>
      </c>
      <c r="AV81" t="s">
        <v>72</v>
      </c>
      <c r="AW81" t="s">
        <v>72</v>
      </c>
      <c r="AX81" t="s">
        <v>235</v>
      </c>
      <c r="AY81">
        <v>21.8999004</v>
      </c>
      <c r="AZ81">
        <v>219</v>
      </c>
      <c r="BA81">
        <v>-1.92</v>
      </c>
      <c r="BB81">
        <v>385.3370056</v>
      </c>
      <c r="BC81">
        <v>-0.15290599999999999</v>
      </c>
      <c r="BD81">
        <v>0.21376600000000001</v>
      </c>
      <c r="BE81">
        <v>960.54998780000005</v>
      </c>
      <c r="BF81">
        <v>6.9252900999999998</v>
      </c>
      <c r="BG81">
        <v>0.45454499999999998</v>
      </c>
      <c r="BH81">
        <v>2.6257299999999999</v>
      </c>
      <c r="BI81">
        <v>0.49484699999999998</v>
      </c>
      <c r="BJ81">
        <v>676.50299070000005</v>
      </c>
      <c r="BK81">
        <v>4</v>
      </c>
      <c r="BL81">
        <v>0</v>
      </c>
      <c r="BM81">
        <v>1664.75</v>
      </c>
      <c r="BN81">
        <v>1683.9300536999999</v>
      </c>
      <c r="BO81">
        <v>275.71099850000002</v>
      </c>
      <c r="BP81">
        <v>445</v>
      </c>
      <c r="BQ81">
        <v>5</v>
      </c>
      <c r="BR81">
        <v>3</v>
      </c>
    </row>
    <row r="82" spans="1:70" x14ac:dyDescent="0.25">
      <c r="A82">
        <v>80</v>
      </c>
      <c r="B82">
        <v>12989</v>
      </c>
      <c r="C82">
        <v>88.442575000000005</v>
      </c>
      <c r="D82">
        <v>26.936734999999899</v>
      </c>
      <c r="E82" t="s">
        <v>382</v>
      </c>
      <c r="F82">
        <v>1</v>
      </c>
      <c r="G82" t="s">
        <v>112</v>
      </c>
      <c r="H82" t="s">
        <v>72</v>
      </c>
      <c r="I82" t="s">
        <v>72</v>
      </c>
      <c r="J82" t="s">
        <v>189</v>
      </c>
      <c r="K82">
        <v>75</v>
      </c>
      <c r="L82">
        <v>50</v>
      </c>
      <c r="M82">
        <v>60</v>
      </c>
      <c r="N82">
        <v>3750</v>
      </c>
      <c r="O82" t="s">
        <v>89</v>
      </c>
      <c r="P82" t="s">
        <v>72</v>
      </c>
      <c r="Q82">
        <v>3750</v>
      </c>
      <c r="R82" t="s">
        <v>72</v>
      </c>
      <c r="S82" t="s">
        <v>73</v>
      </c>
      <c r="T82" t="s">
        <v>74</v>
      </c>
      <c r="U82" t="s">
        <v>190</v>
      </c>
      <c r="V82" t="s">
        <v>383</v>
      </c>
      <c r="W82" t="s">
        <v>76</v>
      </c>
      <c r="X82" t="s">
        <v>77</v>
      </c>
      <c r="Y82">
        <v>2002</v>
      </c>
      <c r="Z82" t="s">
        <v>72</v>
      </c>
      <c r="AA82" t="s">
        <v>72</v>
      </c>
      <c r="AB82" t="s">
        <v>72</v>
      </c>
      <c r="AC82" t="s">
        <v>72</v>
      </c>
      <c r="AD82" t="s">
        <v>384</v>
      </c>
      <c r="AE82">
        <v>0</v>
      </c>
      <c r="AF82" t="s">
        <v>148</v>
      </c>
      <c r="AG82" t="s">
        <v>385</v>
      </c>
      <c r="AH82" t="s">
        <v>95</v>
      </c>
      <c r="AI82" t="s">
        <v>96</v>
      </c>
      <c r="AJ82" t="s">
        <v>97</v>
      </c>
      <c r="AK82">
        <v>0</v>
      </c>
      <c r="AL82">
        <v>0</v>
      </c>
      <c r="AM82">
        <v>0</v>
      </c>
      <c r="AN82" t="s">
        <v>98</v>
      </c>
      <c r="AO82" t="s">
        <v>82</v>
      </c>
      <c r="AP82" t="s">
        <v>386</v>
      </c>
      <c r="AQ82" t="s">
        <v>72</v>
      </c>
      <c r="AR82" t="s">
        <v>72</v>
      </c>
      <c r="AS82" t="s">
        <v>72</v>
      </c>
      <c r="AT82" t="s">
        <v>176</v>
      </c>
      <c r="AU82" t="s">
        <v>72</v>
      </c>
      <c r="AV82" t="s">
        <v>72</v>
      </c>
      <c r="AW82" t="s">
        <v>72</v>
      </c>
      <c r="AX82" t="s">
        <v>387</v>
      </c>
      <c r="AY82">
        <v>28.8866005</v>
      </c>
      <c r="AZ82">
        <v>160</v>
      </c>
      <c r="BA82">
        <v>2.5599999000000002</v>
      </c>
      <c r="BB82">
        <v>398.49899290000002</v>
      </c>
      <c r="BC82">
        <v>-9.9829500000000002E-2</v>
      </c>
      <c r="BD82">
        <v>0.15618199999999999</v>
      </c>
      <c r="BE82">
        <v>12.5</v>
      </c>
      <c r="BF82">
        <v>3.81358</v>
      </c>
      <c r="BG82">
        <v>0.614035</v>
      </c>
      <c r="BH82">
        <v>-0.59189599999999998</v>
      </c>
      <c r="BI82">
        <v>1.1878599999999999</v>
      </c>
      <c r="BJ82">
        <v>132.87699889999999</v>
      </c>
      <c r="BK82">
        <v>4</v>
      </c>
      <c r="BL82">
        <v>0</v>
      </c>
      <c r="BM82">
        <v>4215.6098633000001</v>
      </c>
      <c r="BN82">
        <v>6832.7299805000002</v>
      </c>
      <c r="BO82">
        <v>43.531200400000003</v>
      </c>
      <c r="BP82">
        <v>203</v>
      </c>
      <c r="BQ82">
        <v>5</v>
      </c>
      <c r="BR82">
        <v>7</v>
      </c>
    </row>
    <row r="83" spans="1:70" x14ac:dyDescent="0.25">
      <c r="A83">
        <v>81</v>
      </c>
      <c r="B83">
        <v>13040</v>
      </c>
      <c r="C83">
        <v>88.4216219999999</v>
      </c>
      <c r="D83">
        <v>26.938343</v>
      </c>
      <c r="E83" t="s">
        <v>388</v>
      </c>
      <c r="F83">
        <v>1</v>
      </c>
      <c r="G83" t="s">
        <v>112</v>
      </c>
      <c r="H83" t="s">
        <v>72</v>
      </c>
      <c r="I83" t="s">
        <v>72</v>
      </c>
      <c r="J83" t="s">
        <v>189</v>
      </c>
      <c r="K83">
        <v>94</v>
      </c>
      <c r="L83">
        <v>100</v>
      </c>
      <c r="M83">
        <v>0</v>
      </c>
      <c r="N83">
        <v>9400</v>
      </c>
      <c r="O83" t="s">
        <v>89</v>
      </c>
      <c r="P83" t="s">
        <v>72</v>
      </c>
      <c r="Q83">
        <v>9400</v>
      </c>
      <c r="R83" t="s">
        <v>72</v>
      </c>
      <c r="S83" t="s">
        <v>73</v>
      </c>
      <c r="T83" t="s">
        <v>74</v>
      </c>
      <c r="U83" t="s">
        <v>190</v>
      </c>
      <c r="V83" t="s">
        <v>389</v>
      </c>
      <c r="W83" t="s">
        <v>92</v>
      </c>
      <c r="X83" t="s">
        <v>77</v>
      </c>
      <c r="Y83">
        <v>2014</v>
      </c>
      <c r="Z83" t="s">
        <v>72</v>
      </c>
      <c r="AA83" t="s">
        <v>72</v>
      </c>
      <c r="AB83" t="s">
        <v>72</v>
      </c>
      <c r="AC83" t="s">
        <v>72</v>
      </c>
      <c r="AD83" t="s">
        <v>72</v>
      </c>
      <c r="AE83">
        <v>0</v>
      </c>
      <c r="AF83" t="s">
        <v>148</v>
      </c>
      <c r="AG83" t="s">
        <v>94</v>
      </c>
      <c r="AH83" t="s">
        <v>95</v>
      </c>
      <c r="AI83" t="s">
        <v>96</v>
      </c>
      <c r="AJ83" t="s">
        <v>97</v>
      </c>
      <c r="AK83">
        <v>0</v>
      </c>
      <c r="AL83">
        <v>0</v>
      </c>
      <c r="AM83">
        <v>0</v>
      </c>
      <c r="AN83" t="s">
        <v>181</v>
      </c>
      <c r="AO83" t="s">
        <v>82</v>
      </c>
      <c r="AP83" t="s">
        <v>200</v>
      </c>
      <c r="AQ83" t="s">
        <v>72</v>
      </c>
      <c r="AR83" t="s">
        <v>72</v>
      </c>
      <c r="AS83" t="s">
        <v>72</v>
      </c>
      <c r="AT83" t="s">
        <v>72</v>
      </c>
      <c r="AU83" t="s">
        <v>72</v>
      </c>
      <c r="AV83" t="s">
        <v>390</v>
      </c>
      <c r="AW83" t="s">
        <v>72</v>
      </c>
      <c r="AX83" t="s">
        <v>103</v>
      </c>
      <c r="AY83">
        <v>26.287700699999998</v>
      </c>
      <c r="AZ83">
        <v>88</v>
      </c>
      <c r="BA83">
        <v>3.2</v>
      </c>
      <c r="BB83">
        <v>525.90899660000002</v>
      </c>
      <c r="BC83">
        <v>-0.18598200000000001</v>
      </c>
      <c r="BD83">
        <v>0.21454100000000001</v>
      </c>
      <c r="BE83">
        <v>1918.0500488</v>
      </c>
      <c r="BF83">
        <v>7.8363500000000004</v>
      </c>
      <c r="BG83">
        <v>0.62091399999999997</v>
      </c>
      <c r="BH83">
        <v>4.6234498000000004</v>
      </c>
      <c r="BI83">
        <v>0.180649</v>
      </c>
      <c r="BJ83">
        <v>508.98199460000001</v>
      </c>
      <c r="BK83">
        <v>6</v>
      </c>
      <c r="BL83">
        <v>0</v>
      </c>
      <c r="BM83">
        <v>4402.0600586</v>
      </c>
      <c r="BN83">
        <v>7380.4301758000001</v>
      </c>
      <c r="BO83">
        <v>158.62899780000001</v>
      </c>
      <c r="BP83">
        <v>664</v>
      </c>
      <c r="BQ83">
        <v>5</v>
      </c>
      <c r="BR83">
        <v>7</v>
      </c>
    </row>
    <row r="84" spans="1:70" x14ac:dyDescent="0.25">
      <c r="A84">
        <v>82</v>
      </c>
      <c r="B84">
        <v>13242</v>
      </c>
      <c r="C84">
        <v>88.441610999999895</v>
      </c>
      <c r="D84">
        <v>26.937297999999899</v>
      </c>
      <c r="E84" t="s">
        <v>391</v>
      </c>
      <c r="F84">
        <v>1</v>
      </c>
      <c r="G84" t="s">
        <v>102</v>
      </c>
      <c r="H84" t="s">
        <v>72</v>
      </c>
      <c r="I84" t="s">
        <v>72</v>
      </c>
      <c r="J84" t="s">
        <v>189</v>
      </c>
      <c r="K84">
        <v>90</v>
      </c>
      <c r="L84">
        <v>400</v>
      </c>
      <c r="M84">
        <v>80</v>
      </c>
      <c r="N84">
        <v>36000</v>
      </c>
      <c r="O84" t="s">
        <v>89</v>
      </c>
      <c r="P84" t="s">
        <v>72</v>
      </c>
      <c r="Q84">
        <v>36000</v>
      </c>
      <c r="R84" t="s">
        <v>72</v>
      </c>
      <c r="S84" t="s">
        <v>73</v>
      </c>
      <c r="T84" t="s">
        <v>74</v>
      </c>
      <c r="U84" t="s">
        <v>190</v>
      </c>
      <c r="V84" t="s">
        <v>392</v>
      </c>
      <c r="W84" t="s">
        <v>159</v>
      </c>
      <c r="X84" t="s">
        <v>119</v>
      </c>
      <c r="Y84">
        <v>2015</v>
      </c>
      <c r="Z84" t="s">
        <v>72</v>
      </c>
      <c r="AA84" t="s">
        <v>72</v>
      </c>
      <c r="AB84" t="s">
        <v>72</v>
      </c>
      <c r="AC84" t="s">
        <v>72</v>
      </c>
      <c r="AD84" t="s">
        <v>72</v>
      </c>
      <c r="AE84">
        <v>0</v>
      </c>
      <c r="AF84" t="s">
        <v>79</v>
      </c>
      <c r="AG84" t="s">
        <v>94</v>
      </c>
      <c r="AH84" t="s">
        <v>95</v>
      </c>
      <c r="AI84" t="s">
        <v>80</v>
      </c>
      <c r="AJ84" t="s">
        <v>97</v>
      </c>
      <c r="AK84">
        <v>0</v>
      </c>
      <c r="AL84">
        <v>0</v>
      </c>
      <c r="AM84">
        <v>0</v>
      </c>
      <c r="AN84" t="s">
        <v>98</v>
      </c>
      <c r="AO84" t="s">
        <v>82</v>
      </c>
      <c r="AP84" t="s">
        <v>386</v>
      </c>
      <c r="AQ84" t="s">
        <v>72</v>
      </c>
      <c r="AR84" t="s">
        <v>72</v>
      </c>
      <c r="AS84" t="s">
        <v>72</v>
      </c>
      <c r="AT84" t="s">
        <v>176</v>
      </c>
      <c r="AU84" t="s">
        <v>72</v>
      </c>
      <c r="AV84" t="s">
        <v>217</v>
      </c>
      <c r="AW84" t="s">
        <v>72</v>
      </c>
      <c r="AX84" t="s">
        <v>218</v>
      </c>
      <c r="AY84">
        <v>44.713501000000001</v>
      </c>
      <c r="AZ84">
        <v>126</v>
      </c>
      <c r="BA84">
        <v>2.5599999000000002</v>
      </c>
      <c r="BB84">
        <v>391.37399290000002</v>
      </c>
      <c r="BC84">
        <v>-9.7152199999999994E-2</v>
      </c>
      <c r="BD84">
        <v>0.14072499999999999</v>
      </c>
      <c r="BE84">
        <v>17.677700000000002</v>
      </c>
      <c r="BF84">
        <v>3.2288798999999999</v>
      </c>
      <c r="BG84">
        <v>0.64052299999999995</v>
      </c>
      <c r="BH84">
        <v>-7.9903000000000005E-3</v>
      </c>
      <c r="BI84">
        <v>1.1568499999999999</v>
      </c>
      <c r="BJ84">
        <v>187.9160004</v>
      </c>
      <c r="BK84">
        <v>4</v>
      </c>
      <c r="BL84">
        <v>0</v>
      </c>
      <c r="BM84">
        <v>4145.8198241999999</v>
      </c>
      <c r="BN84">
        <v>6900.6000977000003</v>
      </c>
      <c r="BO84">
        <v>45.818500499999999</v>
      </c>
      <c r="BP84">
        <v>229</v>
      </c>
      <c r="BQ84">
        <v>5</v>
      </c>
      <c r="BR84">
        <v>7</v>
      </c>
    </row>
    <row r="85" spans="1:70" x14ac:dyDescent="0.25">
      <c r="A85">
        <v>83</v>
      </c>
      <c r="B85">
        <v>13041</v>
      </c>
      <c r="C85">
        <v>88.426029</v>
      </c>
      <c r="D85">
        <v>26.938220999999899</v>
      </c>
      <c r="E85" t="s">
        <v>393</v>
      </c>
      <c r="F85">
        <v>1</v>
      </c>
      <c r="G85" t="s">
        <v>112</v>
      </c>
      <c r="H85" t="s">
        <v>72</v>
      </c>
      <c r="I85" t="s">
        <v>72</v>
      </c>
      <c r="J85" t="s">
        <v>189</v>
      </c>
      <c r="K85">
        <v>99</v>
      </c>
      <c r="L85">
        <v>40</v>
      </c>
      <c r="M85">
        <v>0</v>
      </c>
      <c r="N85">
        <v>3960</v>
      </c>
      <c r="O85" t="s">
        <v>89</v>
      </c>
      <c r="P85" t="s">
        <v>72</v>
      </c>
      <c r="Q85">
        <v>3960</v>
      </c>
      <c r="R85" t="s">
        <v>72</v>
      </c>
      <c r="S85" t="s">
        <v>73</v>
      </c>
      <c r="T85" t="s">
        <v>74</v>
      </c>
      <c r="U85" t="s">
        <v>190</v>
      </c>
      <c r="V85" t="s">
        <v>389</v>
      </c>
      <c r="W85" t="s">
        <v>92</v>
      </c>
      <c r="X85" t="s">
        <v>77</v>
      </c>
      <c r="Y85">
        <v>2014</v>
      </c>
      <c r="Z85" t="s">
        <v>72</v>
      </c>
      <c r="AA85" t="s">
        <v>72</v>
      </c>
      <c r="AB85" t="s">
        <v>72</v>
      </c>
      <c r="AC85" t="s">
        <v>72</v>
      </c>
      <c r="AD85" t="s">
        <v>72</v>
      </c>
      <c r="AE85">
        <v>0</v>
      </c>
      <c r="AF85" t="s">
        <v>148</v>
      </c>
      <c r="AG85" t="s">
        <v>94</v>
      </c>
      <c r="AH85" t="s">
        <v>95</v>
      </c>
      <c r="AI85" t="s">
        <v>96</v>
      </c>
      <c r="AJ85" t="s">
        <v>97</v>
      </c>
      <c r="AK85">
        <v>0</v>
      </c>
      <c r="AL85">
        <v>0</v>
      </c>
      <c r="AM85">
        <v>0</v>
      </c>
      <c r="AN85" t="s">
        <v>98</v>
      </c>
      <c r="AO85" t="s">
        <v>221</v>
      </c>
      <c r="AP85" t="s">
        <v>386</v>
      </c>
      <c r="AQ85" t="s">
        <v>72</v>
      </c>
      <c r="AR85" t="s">
        <v>72</v>
      </c>
      <c r="AS85" t="s">
        <v>72</v>
      </c>
      <c r="AT85" t="s">
        <v>72</v>
      </c>
      <c r="AU85" t="s">
        <v>72</v>
      </c>
      <c r="AV85" t="s">
        <v>394</v>
      </c>
      <c r="AW85" t="s">
        <v>72</v>
      </c>
      <c r="AX85" t="s">
        <v>307</v>
      </c>
      <c r="AY85">
        <v>32.063800800000003</v>
      </c>
      <c r="AZ85">
        <v>107</v>
      </c>
      <c r="BA85">
        <v>0</v>
      </c>
      <c r="BB85">
        <v>469.48599239999999</v>
      </c>
      <c r="BC85">
        <v>-0.15582099999999999</v>
      </c>
      <c r="BD85">
        <v>0.195383</v>
      </c>
      <c r="BE85">
        <v>1485.8699951000001</v>
      </c>
      <c r="BF85">
        <v>6.9252900999999998</v>
      </c>
      <c r="BG85">
        <v>0.48537999999999998</v>
      </c>
      <c r="BH85">
        <v>3.4459</v>
      </c>
      <c r="BI85">
        <v>0.234207</v>
      </c>
      <c r="BJ85">
        <v>213.96600340000001</v>
      </c>
      <c r="BK85">
        <v>4</v>
      </c>
      <c r="BL85">
        <v>0</v>
      </c>
      <c r="BM85">
        <v>4249.7202147999997</v>
      </c>
      <c r="BN85">
        <v>7249.2202147999997</v>
      </c>
      <c r="BO85">
        <v>196.69900509999999</v>
      </c>
      <c r="BP85">
        <v>522</v>
      </c>
      <c r="BQ85">
        <v>5</v>
      </c>
      <c r="BR85">
        <v>7</v>
      </c>
    </row>
    <row r="86" spans="1:70" x14ac:dyDescent="0.25">
      <c r="A86">
        <v>84</v>
      </c>
      <c r="B86">
        <v>257</v>
      </c>
      <c r="C86">
        <v>88.441721999999899</v>
      </c>
      <c r="D86">
        <v>26.937888999999899</v>
      </c>
      <c r="E86" t="s">
        <v>395</v>
      </c>
      <c r="F86">
        <v>0</v>
      </c>
      <c r="G86" t="s">
        <v>396</v>
      </c>
      <c r="H86" t="s">
        <v>397</v>
      </c>
      <c r="I86" t="s">
        <v>72</v>
      </c>
      <c r="J86" t="s">
        <v>72</v>
      </c>
      <c r="K86">
        <v>40</v>
      </c>
      <c r="L86">
        <v>300</v>
      </c>
      <c r="M86">
        <v>40</v>
      </c>
      <c r="N86">
        <v>0</v>
      </c>
      <c r="O86" t="s">
        <v>72</v>
      </c>
      <c r="P86" t="s">
        <v>72</v>
      </c>
      <c r="Q86">
        <v>0</v>
      </c>
      <c r="R86" t="s">
        <v>72</v>
      </c>
      <c r="S86" t="s">
        <v>73</v>
      </c>
      <c r="T86" t="s">
        <v>74</v>
      </c>
      <c r="U86" t="s">
        <v>75</v>
      </c>
      <c r="V86" t="s">
        <v>72</v>
      </c>
      <c r="W86" t="s">
        <v>159</v>
      </c>
      <c r="X86" t="s">
        <v>77</v>
      </c>
      <c r="Y86">
        <v>0</v>
      </c>
      <c r="Z86" t="s">
        <v>72</v>
      </c>
      <c r="AA86" t="s">
        <v>72</v>
      </c>
      <c r="AB86" t="s">
        <v>72</v>
      </c>
      <c r="AC86" t="s">
        <v>72</v>
      </c>
      <c r="AD86" t="s">
        <v>398</v>
      </c>
      <c r="AE86">
        <v>50</v>
      </c>
      <c r="AF86" t="s">
        <v>148</v>
      </c>
      <c r="AG86" t="s">
        <v>94</v>
      </c>
      <c r="AH86" t="s">
        <v>72</v>
      </c>
      <c r="AI86" t="s">
        <v>150</v>
      </c>
      <c r="AJ86" t="s">
        <v>97</v>
      </c>
      <c r="AK86">
        <v>2015</v>
      </c>
      <c r="AL86">
        <v>0</v>
      </c>
      <c r="AM86">
        <v>0</v>
      </c>
      <c r="AN86" t="s">
        <v>181</v>
      </c>
      <c r="AO86" t="s">
        <v>82</v>
      </c>
      <c r="AP86" t="s">
        <v>399</v>
      </c>
      <c r="AQ86" t="s">
        <v>72</v>
      </c>
      <c r="AR86" t="s">
        <v>72</v>
      </c>
      <c r="AS86" t="s">
        <v>72</v>
      </c>
      <c r="AT86" t="s">
        <v>84</v>
      </c>
      <c r="AU86" t="s">
        <v>72</v>
      </c>
      <c r="AV86" t="s">
        <v>72</v>
      </c>
      <c r="AW86" t="s">
        <v>72</v>
      </c>
      <c r="AX86" t="s">
        <v>400</v>
      </c>
      <c r="AY86">
        <v>54.688201900000003</v>
      </c>
      <c r="AZ86">
        <v>0</v>
      </c>
      <c r="BA86">
        <v>11.5200005</v>
      </c>
      <c r="BB86">
        <v>399.83898929999998</v>
      </c>
      <c r="BC86">
        <v>-2.1735999999999998E-2</v>
      </c>
      <c r="BD86">
        <v>8.4193799999999999E-2</v>
      </c>
      <c r="BE86">
        <v>17.677700000000002</v>
      </c>
      <c r="BF86">
        <v>3.1742200999999999</v>
      </c>
      <c r="BG86">
        <v>0.53888899999999995</v>
      </c>
      <c r="BH86">
        <v>1.1444099999999999</v>
      </c>
      <c r="BI86">
        <v>1.1440300000000001</v>
      </c>
      <c r="BJ86">
        <v>170.01800539999999</v>
      </c>
      <c r="BK86">
        <v>4</v>
      </c>
      <c r="BL86">
        <v>0</v>
      </c>
      <c r="BM86">
        <v>4084.2700195000002</v>
      </c>
      <c r="BN86">
        <v>6962.2299805000002</v>
      </c>
      <c r="BO86">
        <v>92.842102100000005</v>
      </c>
      <c r="BP86">
        <v>198</v>
      </c>
      <c r="BQ86">
        <v>5</v>
      </c>
      <c r="BR86">
        <v>7</v>
      </c>
    </row>
    <row r="87" spans="1:70" x14ac:dyDescent="0.25">
      <c r="A87">
        <v>85</v>
      </c>
      <c r="B87">
        <v>974</v>
      </c>
      <c r="C87">
        <v>88.441721999999899</v>
      </c>
      <c r="D87">
        <v>26.937888999999899</v>
      </c>
      <c r="E87" t="s">
        <v>401</v>
      </c>
      <c r="F87">
        <v>0</v>
      </c>
      <c r="G87" t="s">
        <v>261</v>
      </c>
      <c r="H87" t="s">
        <v>402</v>
      </c>
      <c r="I87" t="s">
        <v>72</v>
      </c>
      <c r="J87" t="s">
        <v>72</v>
      </c>
      <c r="K87">
        <v>60</v>
      </c>
      <c r="L87">
        <v>300</v>
      </c>
      <c r="M87">
        <v>60</v>
      </c>
      <c r="N87">
        <v>0</v>
      </c>
      <c r="O87" t="s">
        <v>89</v>
      </c>
      <c r="P87" t="s">
        <v>72</v>
      </c>
      <c r="Q87">
        <v>0</v>
      </c>
      <c r="R87" t="s">
        <v>72</v>
      </c>
      <c r="S87" t="s">
        <v>73</v>
      </c>
      <c r="T87" t="s">
        <v>74</v>
      </c>
      <c r="U87" t="s">
        <v>190</v>
      </c>
      <c r="V87" t="s">
        <v>72</v>
      </c>
      <c r="W87" t="s">
        <v>159</v>
      </c>
      <c r="X87" t="s">
        <v>77</v>
      </c>
      <c r="Y87">
        <v>0</v>
      </c>
      <c r="Z87" t="s">
        <v>72</v>
      </c>
      <c r="AA87" t="s">
        <v>72</v>
      </c>
      <c r="AB87" t="s">
        <v>72</v>
      </c>
      <c r="AC87" t="s">
        <v>72</v>
      </c>
      <c r="AD87" t="s">
        <v>398</v>
      </c>
      <c r="AE87">
        <v>50</v>
      </c>
      <c r="AF87" t="s">
        <v>148</v>
      </c>
      <c r="AG87" t="s">
        <v>94</v>
      </c>
      <c r="AH87" t="s">
        <v>72</v>
      </c>
      <c r="AI87" t="s">
        <v>150</v>
      </c>
      <c r="AJ87" t="s">
        <v>97</v>
      </c>
      <c r="AK87">
        <v>2015</v>
      </c>
      <c r="AL87">
        <v>0</v>
      </c>
      <c r="AM87">
        <v>0</v>
      </c>
      <c r="AN87" t="s">
        <v>181</v>
      </c>
      <c r="AO87" t="s">
        <v>82</v>
      </c>
      <c r="AP87" t="s">
        <v>399</v>
      </c>
      <c r="AQ87" t="s">
        <v>72</v>
      </c>
      <c r="AR87" t="s">
        <v>72</v>
      </c>
      <c r="AS87" t="s">
        <v>72</v>
      </c>
      <c r="AT87" t="s">
        <v>237</v>
      </c>
      <c r="AU87" t="s">
        <v>72</v>
      </c>
      <c r="AV87" t="s">
        <v>403</v>
      </c>
      <c r="AW87" t="s">
        <v>72</v>
      </c>
      <c r="AX87" t="s">
        <v>404</v>
      </c>
      <c r="AY87">
        <v>54.688201900000003</v>
      </c>
      <c r="AZ87">
        <v>0</v>
      </c>
      <c r="BA87">
        <v>11.5200005</v>
      </c>
      <c r="BB87">
        <v>399.83898929999998</v>
      </c>
      <c r="BC87">
        <v>-2.1735999999999998E-2</v>
      </c>
      <c r="BD87">
        <v>8.4193799999999999E-2</v>
      </c>
      <c r="BE87">
        <v>17.677700000000002</v>
      </c>
      <c r="BF87">
        <v>3.1742200999999999</v>
      </c>
      <c r="BG87">
        <v>0.53888899999999995</v>
      </c>
      <c r="BH87">
        <v>1.1444099999999999</v>
      </c>
      <c r="BI87">
        <v>1.1440300000000001</v>
      </c>
      <c r="BJ87">
        <v>170.01800539999999</v>
      </c>
      <c r="BK87">
        <v>4</v>
      </c>
      <c r="BL87">
        <v>0</v>
      </c>
      <c r="BM87">
        <v>4084.2700195000002</v>
      </c>
      <c r="BN87">
        <v>6962.2299805000002</v>
      </c>
      <c r="BO87">
        <v>92.842102100000005</v>
      </c>
      <c r="BP87">
        <v>198</v>
      </c>
      <c r="BQ87">
        <v>5</v>
      </c>
      <c r="BR87">
        <v>7</v>
      </c>
    </row>
    <row r="88" spans="1:70" x14ac:dyDescent="0.25">
      <c r="A88">
        <v>86</v>
      </c>
      <c r="B88">
        <v>929</v>
      </c>
      <c r="C88">
        <v>88.441721999999899</v>
      </c>
      <c r="D88">
        <v>26.937888999999899</v>
      </c>
      <c r="E88" t="s">
        <v>401</v>
      </c>
      <c r="F88">
        <v>0</v>
      </c>
      <c r="G88" t="s">
        <v>261</v>
      </c>
      <c r="H88" t="s">
        <v>402</v>
      </c>
      <c r="I88" t="s">
        <v>72</v>
      </c>
      <c r="J88" t="s">
        <v>72</v>
      </c>
      <c r="K88">
        <v>60</v>
      </c>
      <c r="L88">
        <v>300</v>
      </c>
      <c r="M88">
        <v>60</v>
      </c>
      <c r="N88">
        <v>0</v>
      </c>
      <c r="O88" t="s">
        <v>89</v>
      </c>
      <c r="P88" t="s">
        <v>72</v>
      </c>
      <c r="Q88">
        <v>0</v>
      </c>
      <c r="R88" t="s">
        <v>72</v>
      </c>
      <c r="S88" t="s">
        <v>73</v>
      </c>
      <c r="T88" t="s">
        <v>74</v>
      </c>
      <c r="U88" t="s">
        <v>190</v>
      </c>
      <c r="V88" t="s">
        <v>72</v>
      </c>
      <c r="W88" t="s">
        <v>159</v>
      </c>
      <c r="X88" t="s">
        <v>77</v>
      </c>
      <c r="Y88">
        <v>0</v>
      </c>
      <c r="Z88" t="s">
        <v>72</v>
      </c>
      <c r="AA88" t="s">
        <v>72</v>
      </c>
      <c r="AB88" t="s">
        <v>72</v>
      </c>
      <c r="AC88" t="s">
        <v>72</v>
      </c>
      <c r="AD88" t="s">
        <v>398</v>
      </c>
      <c r="AE88">
        <v>50</v>
      </c>
      <c r="AF88" t="s">
        <v>148</v>
      </c>
      <c r="AG88" t="s">
        <v>94</v>
      </c>
      <c r="AH88" t="s">
        <v>72</v>
      </c>
      <c r="AI88" t="s">
        <v>150</v>
      </c>
      <c r="AJ88" t="s">
        <v>97</v>
      </c>
      <c r="AK88">
        <v>2015</v>
      </c>
      <c r="AL88">
        <v>0</v>
      </c>
      <c r="AM88">
        <v>0</v>
      </c>
      <c r="AN88" t="s">
        <v>181</v>
      </c>
      <c r="AO88" t="s">
        <v>82</v>
      </c>
      <c r="AP88" t="s">
        <v>399</v>
      </c>
      <c r="AQ88" t="s">
        <v>72</v>
      </c>
      <c r="AR88" t="s">
        <v>72</v>
      </c>
      <c r="AS88" t="s">
        <v>72</v>
      </c>
      <c r="AT88" t="s">
        <v>237</v>
      </c>
      <c r="AU88" t="s">
        <v>72</v>
      </c>
      <c r="AV88" t="s">
        <v>403</v>
      </c>
      <c r="AW88" t="s">
        <v>72</v>
      </c>
      <c r="AX88" t="s">
        <v>404</v>
      </c>
      <c r="AY88">
        <v>54.688201900000003</v>
      </c>
      <c r="AZ88">
        <v>0</v>
      </c>
      <c r="BA88">
        <v>11.5200005</v>
      </c>
      <c r="BB88">
        <v>399.83898929999998</v>
      </c>
      <c r="BC88">
        <v>-2.1735999999999998E-2</v>
      </c>
      <c r="BD88">
        <v>8.4193799999999999E-2</v>
      </c>
      <c r="BE88">
        <v>17.677700000000002</v>
      </c>
      <c r="BF88">
        <v>3.1742200999999999</v>
      </c>
      <c r="BG88">
        <v>0.53888899999999995</v>
      </c>
      <c r="BH88">
        <v>1.1444099999999999</v>
      </c>
      <c r="BI88">
        <v>1.1440300000000001</v>
      </c>
      <c r="BJ88">
        <v>170.01800539999999</v>
      </c>
      <c r="BK88">
        <v>4</v>
      </c>
      <c r="BL88">
        <v>0</v>
      </c>
      <c r="BM88">
        <v>4084.2700195000002</v>
      </c>
      <c r="BN88">
        <v>6962.2299805000002</v>
      </c>
      <c r="BO88">
        <v>92.842102100000005</v>
      </c>
      <c r="BP88">
        <v>198</v>
      </c>
      <c r="BQ88">
        <v>5</v>
      </c>
      <c r="BR88">
        <v>7</v>
      </c>
    </row>
    <row r="89" spans="1:70" x14ac:dyDescent="0.25">
      <c r="A89">
        <v>87</v>
      </c>
      <c r="B89">
        <v>13266</v>
      </c>
      <c r="C89">
        <v>88.441721999999899</v>
      </c>
      <c r="D89">
        <v>26.937888999999899</v>
      </c>
      <c r="E89" t="s">
        <v>405</v>
      </c>
      <c r="F89">
        <v>3</v>
      </c>
      <c r="G89" t="s">
        <v>112</v>
      </c>
      <c r="H89" t="s">
        <v>72</v>
      </c>
      <c r="I89" t="s">
        <v>72</v>
      </c>
      <c r="J89" t="s">
        <v>189</v>
      </c>
      <c r="K89">
        <v>60</v>
      </c>
      <c r="L89">
        <v>300</v>
      </c>
      <c r="M89">
        <v>40</v>
      </c>
      <c r="N89">
        <v>18000</v>
      </c>
      <c r="O89" t="s">
        <v>89</v>
      </c>
      <c r="P89" t="s">
        <v>72</v>
      </c>
      <c r="Q89">
        <v>54000</v>
      </c>
      <c r="R89" t="s">
        <v>72</v>
      </c>
      <c r="S89" t="s">
        <v>73</v>
      </c>
      <c r="T89" t="s">
        <v>74</v>
      </c>
      <c r="U89" t="s">
        <v>190</v>
      </c>
      <c r="V89" t="s">
        <v>406</v>
      </c>
      <c r="W89" t="s">
        <v>159</v>
      </c>
      <c r="X89" t="s">
        <v>77</v>
      </c>
      <c r="Y89">
        <v>2015</v>
      </c>
      <c r="Z89" t="s">
        <v>72</v>
      </c>
      <c r="AA89" t="s">
        <v>72</v>
      </c>
      <c r="AB89" t="s">
        <v>72</v>
      </c>
      <c r="AC89" t="s">
        <v>72</v>
      </c>
      <c r="AD89" t="s">
        <v>239</v>
      </c>
      <c r="AE89">
        <v>0</v>
      </c>
      <c r="AF89" t="s">
        <v>148</v>
      </c>
      <c r="AG89" t="s">
        <v>94</v>
      </c>
      <c r="AH89" t="s">
        <v>95</v>
      </c>
      <c r="AI89" t="s">
        <v>150</v>
      </c>
      <c r="AJ89" t="s">
        <v>97</v>
      </c>
      <c r="AK89">
        <v>0</v>
      </c>
      <c r="AL89">
        <v>0</v>
      </c>
      <c r="AM89">
        <v>0</v>
      </c>
      <c r="AN89" t="s">
        <v>98</v>
      </c>
      <c r="AO89" t="s">
        <v>82</v>
      </c>
      <c r="AP89" t="s">
        <v>386</v>
      </c>
      <c r="AQ89" t="s">
        <v>72</v>
      </c>
      <c r="AR89" t="s">
        <v>72</v>
      </c>
      <c r="AS89" t="s">
        <v>72</v>
      </c>
      <c r="AT89" t="s">
        <v>176</v>
      </c>
      <c r="AU89" t="s">
        <v>72</v>
      </c>
      <c r="AV89" t="s">
        <v>217</v>
      </c>
      <c r="AW89" t="s">
        <v>72</v>
      </c>
      <c r="AX89" t="s">
        <v>363</v>
      </c>
      <c r="AY89">
        <v>54.688201900000003</v>
      </c>
      <c r="AZ89">
        <v>0</v>
      </c>
      <c r="BA89">
        <v>11.5200005</v>
      </c>
      <c r="BB89">
        <v>399.83898929999998</v>
      </c>
      <c r="BC89">
        <v>-2.1735999999999998E-2</v>
      </c>
      <c r="BD89">
        <v>8.4193799999999999E-2</v>
      </c>
      <c r="BE89">
        <v>17.677700000000002</v>
      </c>
      <c r="BF89">
        <v>3.1742200999999999</v>
      </c>
      <c r="BG89">
        <v>0.53888899999999995</v>
      </c>
      <c r="BH89">
        <v>1.1444099999999999</v>
      </c>
      <c r="BI89">
        <v>1.1440300000000001</v>
      </c>
      <c r="BJ89">
        <v>170.01800539999999</v>
      </c>
      <c r="BK89">
        <v>4</v>
      </c>
      <c r="BL89">
        <v>0</v>
      </c>
      <c r="BM89">
        <v>4084.2700195000002</v>
      </c>
      <c r="BN89">
        <v>6962.2299805000002</v>
      </c>
      <c r="BO89">
        <v>92.842102100000005</v>
      </c>
      <c r="BP89">
        <v>198</v>
      </c>
      <c r="BQ89">
        <v>5</v>
      </c>
      <c r="BR89">
        <v>7</v>
      </c>
    </row>
    <row r="90" spans="1:70" x14ac:dyDescent="0.25">
      <c r="A90">
        <v>88</v>
      </c>
      <c r="B90">
        <v>13333</v>
      </c>
      <c r="C90">
        <v>88.413083</v>
      </c>
      <c r="D90">
        <v>26.943943999999899</v>
      </c>
      <c r="E90" t="s">
        <v>407</v>
      </c>
      <c r="F90">
        <v>1</v>
      </c>
      <c r="G90" t="s">
        <v>102</v>
      </c>
      <c r="H90" t="s">
        <v>72</v>
      </c>
      <c r="I90" t="s">
        <v>72</v>
      </c>
      <c r="J90" t="s">
        <v>189</v>
      </c>
      <c r="K90">
        <v>25</v>
      </c>
      <c r="L90">
        <v>30</v>
      </c>
      <c r="M90">
        <v>20</v>
      </c>
      <c r="N90">
        <v>750</v>
      </c>
      <c r="O90" t="s">
        <v>89</v>
      </c>
      <c r="P90" t="s">
        <v>72</v>
      </c>
      <c r="Q90">
        <v>750</v>
      </c>
      <c r="R90" t="s">
        <v>72</v>
      </c>
      <c r="S90" t="s">
        <v>73</v>
      </c>
      <c r="T90" t="s">
        <v>74</v>
      </c>
      <c r="U90" t="s">
        <v>190</v>
      </c>
      <c r="V90" t="s">
        <v>408</v>
      </c>
      <c r="W90" t="s">
        <v>76</v>
      </c>
      <c r="X90" t="s">
        <v>77</v>
      </c>
      <c r="Y90">
        <v>2015</v>
      </c>
      <c r="Z90" t="s">
        <v>72</v>
      </c>
      <c r="AA90" t="s">
        <v>72</v>
      </c>
      <c r="AB90" t="s">
        <v>72</v>
      </c>
      <c r="AC90" t="s">
        <v>72</v>
      </c>
      <c r="AD90" t="s">
        <v>408</v>
      </c>
      <c r="AE90">
        <v>0</v>
      </c>
      <c r="AF90" t="s">
        <v>79</v>
      </c>
      <c r="AG90" t="s">
        <v>94</v>
      </c>
      <c r="AH90" t="s">
        <v>95</v>
      </c>
      <c r="AI90" t="s">
        <v>150</v>
      </c>
      <c r="AJ90" t="s">
        <v>97</v>
      </c>
      <c r="AK90">
        <v>0</v>
      </c>
      <c r="AL90">
        <v>0</v>
      </c>
      <c r="AM90">
        <v>0</v>
      </c>
      <c r="AN90" t="s">
        <v>98</v>
      </c>
      <c r="AO90" t="s">
        <v>82</v>
      </c>
      <c r="AP90" t="s">
        <v>409</v>
      </c>
      <c r="AQ90" t="s">
        <v>72</v>
      </c>
      <c r="AR90" t="s">
        <v>72</v>
      </c>
      <c r="AS90" t="s">
        <v>72</v>
      </c>
      <c r="AT90" t="s">
        <v>176</v>
      </c>
      <c r="AU90" t="s">
        <v>72</v>
      </c>
      <c r="AV90" t="s">
        <v>222</v>
      </c>
      <c r="AW90" t="s">
        <v>72</v>
      </c>
      <c r="AX90" t="s">
        <v>223</v>
      </c>
      <c r="AY90">
        <v>27.017099399999999</v>
      </c>
      <c r="AZ90">
        <v>228</v>
      </c>
      <c r="BA90">
        <v>-0.64</v>
      </c>
      <c r="BB90">
        <v>595.3809814</v>
      </c>
      <c r="BC90">
        <v>-0.13068099999999999</v>
      </c>
      <c r="BD90">
        <v>0.19201099999999999</v>
      </c>
      <c r="BE90">
        <v>2576.9399414</v>
      </c>
      <c r="BF90">
        <v>4.3963399000000001</v>
      </c>
      <c r="BG90">
        <v>0.43703599999999998</v>
      </c>
      <c r="BH90">
        <v>0.61624900000000005</v>
      </c>
      <c r="BI90">
        <v>0.103991</v>
      </c>
      <c r="BJ90">
        <v>801.56097409999995</v>
      </c>
      <c r="BK90">
        <v>7</v>
      </c>
      <c r="BL90">
        <v>0</v>
      </c>
      <c r="BM90">
        <v>4192.2001952999999</v>
      </c>
      <c r="BN90">
        <v>8045.6699219000002</v>
      </c>
      <c r="BO90">
        <v>348.69000240000003</v>
      </c>
      <c r="BP90">
        <v>759</v>
      </c>
      <c r="BQ90">
        <v>5</v>
      </c>
      <c r="BR90">
        <v>7</v>
      </c>
    </row>
    <row r="91" spans="1:70" x14ac:dyDescent="0.25">
      <c r="A91">
        <v>89</v>
      </c>
      <c r="B91">
        <v>13009</v>
      </c>
      <c r="C91">
        <v>88.441000000000003</v>
      </c>
      <c r="D91">
        <v>26.9469999999999</v>
      </c>
      <c r="E91" t="s">
        <v>410</v>
      </c>
      <c r="F91">
        <v>1</v>
      </c>
      <c r="G91" t="s">
        <v>112</v>
      </c>
      <c r="H91" t="s">
        <v>72</v>
      </c>
      <c r="I91" t="s">
        <v>72</v>
      </c>
      <c r="J91" t="s">
        <v>189</v>
      </c>
      <c r="K91">
        <v>150</v>
      </c>
      <c r="L91">
        <v>100</v>
      </c>
      <c r="M91">
        <v>70</v>
      </c>
      <c r="N91">
        <v>15000</v>
      </c>
      <c r="O91" t="s">
        <v>89</v>
      </c>
      <c r="P91" t="s">
        <v>72</v>
      </c>
      <c r="Q91">
        <v>15000</v>
      </c>
      <c r="R91" t="s">
        <v>72</v>
      </c>
      <c r="S91" t="s">
        <v>73</v>
      </c>
      <c r="T91" t="s">
        <v>74</v>
      </c>
      <c r="U91" t="s">
        <v>190</v>
      </c>
      <c r="V91" t="s">
        <v>411</v>
      </c>
      <c r="W91" t="s">
        <v>208</v>
      </c>
      <c r="X91" t="s">
        <v>77</v>
      </c>
      <c r="Y91">
        <v>2001</v>
      </c>
      <c r="Z91" t="s">
        <v>72</v>
      </c>
      <c r="AA91" t="s">
        <v>72</v>
      </c>
      <c r="AB91" t="s">
        <v>72</v>
      </c>
      <c r="AC91" t="s">
        <v>72</v>
      </c>
      <c r="AD91" t="s">
        <v>412</v>
      </c>
      <c r="AE91">
        <v>0</v>
      </c>
      <c r="AF91" t="s">
        <v>148</v>
      </c>
      <c r="AG91" t="s">
        <v>385</v>
      </c>
      <c r="AH91" t="s">
        <v>95</v>
      </c>
      <c r="AI91" t="s">
        <v>96</v>
      </c>
      <c r="AJ91" t="s">
        <v>97</v>
      </c>
      <c r="AK91">
        <v>0</v>
      </c>
      <c r="AL91">
        <v>0</v>
      </c>
      <c r="AM91">
        <v>0</v>
      </c>
      <c r="AN91" t="s">
        <v>98</v>
      </c>
      <c r="AO91" t="s">
        <v>82</v>
      </c>
      <c r="AP91" t="s">
        <v>99</v>
      </c>
      <c r="AQ91" t="s">
        <v>72</v>
      </c>
      <c r="AR91" t="s">
        <v>72</v>
      </c>
      <c r="AS91" t="s">
        <v>72</v>
      </c>
      <c r="AT91" t="s">
        <v>413</v>
      </c>
      <c r="AU91" t="s">
        <v>72</v>
      </c>
      <c r="AV91" t="s">
        <v>413</v>
      </c>
      <c r="AW91" t="s">
        <v>72</v>
      </c>
      <c r="AX91" t="s">
        <v>289</v>
      </c>
      <c r="AY91">
        <v>43.341400100000001</v>
      </c>
      <c r="AZ91">
        <v>69</v>
      </c>
      <c r="BA91">
        <v>3.2</v>
      </c>
      <c r="BB91">
        <v>409.94000240000003</v>
      </c>
      <c r="BC91">
        <v>-0.17141500000000001</v>
      </c>
      <c r="BD91">
        <v>0.22384899999999999</v>
      </c>
      <c r="BE91">
        <v>115.2440033</v>
      </c>
      <c r="BF91">
        <v>3.2768098999999999</v>
      </c>
      <c r="BG91">
        <v>0.50574699999999995</v>
      </c>
      <c r="BH91">
        <v>-5.5871400000000002E-2</v>
      </c>
      <c r="BI91">
        <v>1.2435400000000001</v>
      </c>
      <c r="BJ91">
        <v>380.17300419999998</v>
      </c>
      <c r="BK91">
        <v>4</v>
      </c>
      <c r="BL91">
        <v>0</v>
      </c>
      <c r="BM91">
        <v>3068.2299804999998</v>
      </c>
      <c r="BN91">
        <v>6774</v>
      </c>
      <c r="BO91">
        <v>74.6383972</v>
      </c>
      <c r="BP91">
        <v>291</v>
      </c>
      <c r="BQ91">
        <v>5</v>
      </c>
      <c r="BR91">
        <v>7</v>
      </c>
    </row>
    <row r="92" spans="1:70" x14ac:dyDescent="0.25">
      <c r="A92">
        <v>90</v>
      </c>
      <c r="B92">
        <v>13042</v>
      </c>
      <c r="C92">
        <v>88.441254000000001</v>
      </c>
      <c r="D92">
        <v>26.948661999999899</v>
      </c>
      <c r="E92" t="s">
        <v>414</v>
      </c>
      <c r="F92">
        <v>1</v>
      </c>
      <c r="G92" t="s">
        <v>112</v>
      </c>
      <c r="H92" t="s">
        <v>72</v>
      </c>
      <c r="I92" t="s">
        <v>72</v>
      </c>
      <c r="J92" t="s">
        <v>189</v>
      </c>
      <c r="K92">
        <v>95</v>
      </c>
      <c r="L92">
        <v>40</v>
      </c>
      <c r="M92">
        <v>0</v>
      </c>
      <c r="N92">
        <v>3800</v>
      </c>
      <c r="O92" t="s">
        <v>89</v>
      </c>
      <c r="P92" t="s">
        <v>72</v>
      </c>
      <c r="Q92">
        <v>3800</v>
      </c>
      <c r="R92" t="s">
        <v>72</v>
      </c>
      <c r="S92" t="s">
        <v>73</v>
      </c>
      <c r="T92" t="s">
        <v>74</v>
      </c>
      <c r="U92" t="s">
        <v>190</v>
      </c>
      <c r="V92" t="s">
        <v>415</v>
      </c>
      <c r="W92" t="s">
        <v>92</v>
      </c>
      <c r="X92" t="s">
        <v>77</v>
      </c>
      <c r="Y92">
        <v>2014</v>
      </c>
      <c r="Z92" t="s">
        <v>72</v>
      </c>
      <c r="AA92" t="s">
        <v>72</v>
      </c>
      <c r="AB92" t="s">
        <v>72</v>
      </c>
      <c r="AC92" t="s">
        <v>72</v>
      </c>
      <c r="AD92" t="s">
        <v>72</v>
      </c>
      <c r="AE92">
        <v>0</v>
      </c>
      <c r="AF92" t="s">
        <v>148</v>
      </c>
      <c r="AG92" t="s">
        <v>94</v>
      </c>
      <c r="AH92" t="s">
        <v>95</v>
      </c>
      <c r="AI92" t="s">
        <v>96</v>
      </c>
      <c r="AJ92" t="s">
        <v>97</v>
      </c>
      <c r="AK92">
        <v>0</v>
      </c>
      <c r="AL92">
        <v>0</v>
      </c>
      <c r="AM92">
        <v>0</v>
      </c>
      <c r="AN92" t="s">
        <v>98</v>
      </c>
      <c r="AO92" t="s">
        <v>82</v>
      </c>
      <c r="AP92" t="s">
        <v>99</v>
      </c>
      <c r="AQ92" t="s">
        <v>72</v>
      </c>
      <c r="AR92" t="s">
        <v>72</v>
      </c>
      <c r="AS92" t="s">
        <v>72</v>
      </c>
      <c r="AT92" t="s">
        <v>72</v>
      </c>
      <c r="AU92" t="s">
        <v>72</v>
      </c>
      <c r="AV92" t="s">
        <v>217</v>
      </c>
      <c r="AW92" t="s">
        <v>72</v>
      </c>
      <c r="AX92" t="s">
        <v>416</v>
      </c>
      <c r="AY92">
        <v>45.272399900000003</v>
      </c>
      <c r="AZ92">
        <v>101</v>
      </c>
      <c r="BA92">
        <v>-0.64</v>
      </c>
      <c r="BB92">
        <v>392.48300169999999</v>
      </c>
      <c r="BC92">
        <v>-0.11318300000000001</v>
      </c>
      <c r="BD92">
        <v>0.15992500000000001</v>
      </c>
      <c r="BE92">
        <v>0</v>
      </c>
      <c r="BF92">
        <v>4.4621301000000004</v>
      </c>
      <c r="BG92">
        <v>0.48888900000000002</v>
      </c>
      <c r="BH92">
        <v>1.80243</v>
      </c>
      <c r="BI92">
        <v>1.1910099999999999</v>
      </c>
      <c r="BJ92">
        <v>229.8099976</v>
      </c>
      <c r="BK92">
        <v>4</v>
      </c>
      <c r="BL92">
        <v>0</v>
      </c>
      <c r="BM92">
        <v>2882.8400879000001</v>
      </c>
      <c r="BN92">
        <v>6589.4301758000001</v>
      </c>
      <c r="BO92">
        <v>56.309898400000002</v>
      </c>
      <c r="BP92">
        <v>179</v>
      </c>
      <c r="BQ92">
        <v>5</v>
      </c>
      <c r="BR92">
        <v>7</v>
      </c>
    </row>
    <row r="93" spans="1:70" x14ac:dyDescent="0.25">
      <c r="A93">
        <v>91</v>
      </c>
      <c r="B93">
        <v>13283</v>
      </c>
      <c r="C93">
        <v>88.401375000000002</v>
      </c>
      <c r="D93">
        <v>26.952369999999899</v>
      </c>
      <c r="E93" t="s">
        <v>417</v>
      </c>
      <c r="F93">
        <v>1</v>
      </c>
      <c r="G93" t="s">
        <v>102</v>
      </c>
      <c r="H93" t="s">
        <v>72</v>
      </c>
      <c r="I93" t="s">
        <v>72</v>
      </c>
      <c r="J93" t="s">
        <v>189</v>
      </c>
      <c r="K93">
        <v>270</v>
      </c>
      <c r="L93">
        <v>70</v>
      </c>
      <c r="M93">
        <v>130</v>
      </c>
      <c r="N93">
        <v>18900</v>
      </c>
      <c r="O93" t="s">
        <v>89</v>
      </c>
      <c r="P93" t="s">
        <v>418</v>
      </c>
      <c r="Q93">
        <v>18900</v>
      </c>
      <c r="R93" t="s">
        <v>72</v>
      </c>
      <c r="S93" t="s">
        <v>73</v>
      </c>
      <c r="T93" t="s">
        <v>74</v>
      </c>
      <c r="U93" t="s">
        <v>190</v>
      </c>
      <c r="V93" t="s">
        <v>419</v>
      </c>
      <c r="W93" t="s">
        <v>208</v>
      </c>
      <c r="X93" t="s">
        <v>77</v>
      </c>
      <c r="Y93">
        <v>2004</v>
      </c>
      <c r="Z93" t="s">
        <v>72</v>
      </c>
      <c r="AA93" t="s">
        <v>72</v>
      </c>
      <c r="AB93" t="s">
        <v>72</v>
      </c>
      <c r="AC93" t="s">
        <v>72</v>
      </c>
      <c r="AD93" t="s">
        <v>72</v>
      </c>
      <c r="AE93">
        <v>0</v>
      </c>
      <c r="AF93" t="s">
        <v>79</v>
      </c>
      <c r="AG93" t="s">
        <v>94</v>
      </c>
      <c r="AH93" t="s">
        <v>95</v>
      </c>
      <c r="AI93" t="s">
        <v>96</v>
      </c>
      <c r="AJ93" t="s">
        <v>97</v>
      </c>
      <c r="AK93">
        <v>0</v>
      </c>
      <c r="AL93">
        <v>0</v>
      </c>
      <c r="AM93">
        <v>0</v>
      </c>
      <c r="AN93" t="s">
        <v>98</v>
      </c>
      <c r="AO93" t="s">
        <v>82</v>
      </c>
      <c r="AP93" t="s">
        <v>114</v>
      </c>
      <c r="AQ93" t="s">
        <v>72</v>
      </c>
      <c r="AR93" t="s">
        <v>72</v>
      </c>
      <c r="AS93" t="s">
        <v>72</v>
      </c>
      <c r="AT93" t="s">
        <v>72</v>
      </c>
      <c r="AU93" t="s">
        <v>72</v>
      </c>
      <c r="AV93" t="s">
        <v>420</v>
      </c>
      <c r="AW93" t="s">
        <v>72</v>
      </c>
      <c r="AX93" t="s">
        <v>421</v>
      </c>
      <c r="AY93">
        <v>35.987999000000002</v>
      </c>
      <c r="AZ93">
        <v>158</v>
      </c>
      <c r="BA93">
        <v>1.28</v>
      </c>
      <c r="BB93">
        <v>623.0349731</v>
      </c>
      <c r="BC93">
        <v>-0.20311599999999999</v>
      </c>
      <c r="BD93">
        <v>0.25752199999999997</v>
      </c>
      <c r="BE93">
        <v>2415.7399902000002</v>
      </c>
      <c r="BF93">
        <v>5.6788401999999998</v>
      </c>
      <c r="BG93">
        <v>0.53777799999999998</v>
      </c>
      <c r="BH93">
        <v>2.4541298999999999</v>
      </c>
      <c r="BI93">
        <v>0.48983599999999999</v>
      </c>
      <c r="BJ93">
        <v>988.21197510000002</v>
      </c>
      <c r="BK93">
        <v>7</v>
      </c>
      <c r="BL93">
        <v>0</v>
      </c>
      <c r="BM93">
        <v>3249.2800293</v>
      </c>
      <c r="BN93">
        <v>8544.2402344000002</v>
      </c>
      <c r="BO93">
        <v>38.290199299999998</v>
      </c>
      <c r="BP93">
        <v>771</v>
      </c>
      <c r="BQ93">
        <v>6</v>
      </c>
      <c r="BR93">
        <v>5</v>
      </c>
    </row>
    <row r="94" spans="1:70" x14ac:dyDescent="0.25">
      <c r="A94">
        <v>92</v>
      </c>
      <c r="B94">
        <v>13360</v>
      </c>
      <c r="C94">
        <v>88.439527999999896</v>
      </c>
      <c r="D94">
        <v>26.950861</v>
      </c>
      <c r="E94" t="s">
        <v>422</v>
      </c>
      <c r="F94">
        <v>1</v>
      </c>
      <c r="G94" t="s">
        <v>112</v>
      </c>
      <c r="H94" t="s">
        <v>72</v>
      </c>
      <c r="I94" t="s">
        <v>72</v>
      </c>
      <c r="J94" t="s">
        <v>189</v>
      </c>
      <c r="K94">
        <v>80</v>
      </c>
      <c r="L94">
        <v>300</v>
      </c>
      <c r="M94">
        <v>70</v>
      </c>
      <c r="N94">
        <v>24000</v>
      </c>
      <c r="O94" t="s">
        <v>89</v>
      </c>
      <c r="P94" t="s">
        <v>72</v>
      </c>
      <c r="Q94">
        <v>24000</v>
      </c>
      <c r="R94" t="s">
        <v>72</v>
      </c>
      <c r="S94" t="s">
        <v>73</v>
      </c>
      <c r="T94" t="s">
        <v>74</v>
      </c>
      <c r="U94" t="s">
        <v>190</v>
      </c>
      <c r="V94" t="s">
        <v>423</v>
      </c>
      <c r="W94" t="s">
        <v>159</v>
      </c>
      <c r="X94" t="s">
        <v>119</v>
      </c>
      <c r="Y94">
        <v>2015</v>
      </c>
      <c r="Z94" t="s">
        <v>72</v>
      </c>
      <c r="AA94" t="s">
        <v>72</v>
      </c>
      <c r="AB94" t="s">
        <v>72</v>
      </c>
      <c r="AC94" t="s">
        <v>72</v>
      </c>
      <c r="AD94" t="s">
        <v>423</v>
      </c>
      <c r="AE94">
        <v>0</v>
      </c>
      <c r="AF94" t="s">
        <v>148</v>
      </c>
      <c r="AG94" t="s">
        <v>94</v>
      </c>
      <c r="AH94" t="s">
        <v>95</v>
      </c>
      <c r="AI94" t="s">
        <v>80</v>
      </c>
      <c r="AJ94" t="s">
        <v>97</v>
      </c>
      <c r="AK94">
        <v>0</v>
      </c>
      <c r="AL94">
        <v>0</v>
      </c>
      <c r="AM94">
        <v>0</v>
      </c>
      <c r="AN94" t="s">
        <v>98</v>
      </c>
      <c r="AO94" t="s">
        <v>107</v>
      </c>
      <c r="AP94" t="s">
        <v>99</v>
      </c>
      <c r="AQ94" t="s">
        <v>72</v>
      </c>
      <c r="AR94" t="s">
        <v>72</v>
      </c>
      <c r="AS94" t="s">
        <v>72</v>
      </c>
      <c r="AT94" t="s">
        <v>176</v>
      </c>
      <c r="AU94" t="s">
        <v>72</v>
      </c>
      <c r="AV94" t="s">
        <v>222</v>
      </c>
      <c r="AW94" t="s">
        <v>72</v>
      </c>
      <c r="AX94" t="s">
        <v>223</v>
      </c>
      <c r="AY94">
        <v>38.8722992</v>
      </c>
      <c r="AZ94">
        <v>140</v>
      </c>
      <c r="BA94">
        <v>-1.28</v>
      </c>
      <c r="BB94">
        <v>388.26699830000001</v>
      </c>
      <c r="BC94">
        <v>-0.129741</v>
      </c>
      <c r="BD94">
        <v>0.17650199999999999</v>
      </c>
      <c r="BE94">
        <v>0</v>
      </c>
      <c r="BF94">
        <v>5.1391701999999997</v>
      </c>
      <c r="BG94">
        <v>0.50191600000000003</v>
      </c>
      <c r="BH94">
        <v>2.0883801000000002</v>
      </c>
      <c r="BI94">
        <v>1.04782</v>
      </c>
      <c r="BJ94">
        <v>185.82600400000001</v>
      </c>
      <c r="BK94">
        <v>4</v>
      </c>
      <c r="BL94">
        <v>0</v>
      </c>
      <c r="BM94">
        <v>2637.7700195000002</v>
      </c>
      <c r="BN94">
        <v>6432.6899414</v>
      </c>
      <c r="BO94">
        <v>45</v>
      </c>
      <c r="BP94">
        <v>182</v>
      </c>
      <c r="BQ94">
        <v>5</v>
      </c>
      <c r="BR94">
        <v>7</v>
      </c>
    </row>
    <row r="95" spans="1:70" x14ac:dyDescent="0.25">
      <c r="A95">
        <v>93</v>
      </c>
      <c r="B95">
        <v>13331</v>
      </c>
      <c r="C95">
        <v>88.420413999999894</v>
      </c>
      <c r="D95">
        <v>26.953817999999899</v>
      </c>
      <c r="E95" t="s">
        <v>424</v>
      </c>
      <c r="F95">
        <v>1</v>
      </c>
      <c r="G95" t="s">
        <v>112</v>
      </c>
      <c r="H95" t="s">
        <v>72</v>
      </c>
      <c r="I95" t="s">
        <v>72</v>
      </c>
      <c r="J95" t="s">
        <v>189</v>
      </c>
      <c r="K95">
        <v>20</v>
      </c>
      <c r="L95">
        <v>60</v>
      </c>
      <c r="M95">
        <v>15</v>
      </c>
      <c r="N95">
        <v>1200</v>
      </c>
      <c r="O95" t="s">
        <v>89</v>
      </c>
      <c r="P95" t="s">
        <v>72</v>
      </c>
      <c r="Q95">
        <v>1200</v>
      </c>
      <c r="R95" t="s">
        <v>72</v>
      </c>
      <c r="S95" t="s">
        <v>73</v>
      </c>
      <c r="T95" t="s">
        <v>74</v>
      </c>
      <c r="U95" t="s">
        <v>190</v>
      </c>
      <c r="V95" t="s">
        <v>425</v>
      </c>
      <c r="W95" t="s">
        <v>76</v>
      </c>
      <c r="X95" t="s">
        <v>77</v>
      </c>
      <c r="Y95">
        <v>2015</v>
      </c>
      <c r="Z95" t="s">
        <v>72</v>
      </c>
      <c r="AA95" t="s">
        <v>72</v>
      </c>
      <c r="AB95" t="s">
        <v>72</v>
      </c>
      <c r="AC95" t="s">
        <v>72</v>
      </c>
      <c r="AD95" t="s">
        <v>425</v>
      </c>
      <c r="AE95">
        <v>0</v>
      </c>
      <c r="AF95" t="s">
        <v>148</v>
      </c>
      <c r="AG95" t="s">
        <v>94</v>
      </c>
      <c r="AH95" t="s">
        <v>95</v>
      </c>
      <c r="AI95" t="s">
        <v>80</v>
      </c>
      <c r="AJ95" t="s">
        <v>97</v>
      </c>
      <c r="AK95">
        <v>0</v>
      </c>
      <c r="AL95">
        <v>0</v>
      </c>
      <c r="AM95">
        <v>0</v>
      </c>
      <c r="AN95" t="s">
        <v>98</v>
      </c>
      <c r="AO95" t="s">
        <v>107</v>
      </c>
      <c r="AP95" t="s">
        <v>409</v>
      </c>
      <c r="AQ95" t="s">
        <v>72</v>
      </c>
      <c r="AR95" t="s">
        <v>72</v>
      </c>
      <c r="AS95" t="s">
        <v>72</v>
      </c>
      <c r="AT95" t="s">
        <v>176</v>
      </c>
      <c r="AU95" t="s">
        <v>72</v>
      </c>
      <c r="AV95" t="s">
        <v>217</v>
      </c>
      <c r="AW95" t="s">
        <v>72</v>
      </c>
      <c r="AX95" t="s">
        <v>358</v>
      </c>
      <c r="AY95">
        <v>29.005600000000001</v>
      </c>
      <c r="AZ95">
        <v>244</v>
      </c>
      <c r="BA95">
        <v>-1.28</v>
      </c>
      <c r="BB95">
        <v>446.0490112</v>
      </c>
      <c r="BC95">
        <v>-0.120139</v>
      </c>
      <c r="BD95">
        <v>0.17693999999999999</v>
      </c>
      <c r="BE95">
        <v>1390.4200439000001</v>
      </c>
      <c r="BF95">
        <v>5.2923597999999998</v>
      </c>
      <c r="BG95">
        <v>0.50292300000000001</v>
      </c>
      <c r="BH95">
        <v>1.51193</v>
      </c>
      <c r="BI95">
        <v>0.54564000000000001</v>
      </c>
      <c r="BJ95">
        <v>668.25299070000005</v>
      </c>
      <c r="BK95">
        <v>4</v>
      </c>
      <c r="BL95">
        <v>0</v>
      </c>
      <c r="BM95">
        <v>2988.7800293</v>
      </c>
      <c r="BN95">
        <v>7135.9702147999997</v>
      </c>
      <c r="BO95">
        <v>309.14401249999997</v>
      </c>
      <c r="BP95">
        <v>604</v>
      </c>
      <c r="BQ95">
        <v>5</v>
      </c>
      <c r="BR95">
        <v>7</v>
      </c>
    </row>
    <row r="96" spans="1:70" x14ac:dyDescent="0.25">
      <c r="A96">
        <v>94</v>
      </c>
      <c r="B96">
        <v>13330</v>
      </c>
      <c r="C96">
        <v>88.424389000000005</v>
      </c>
      <c r="D96">
        <v>26.957083000000001</v>
      </c>
      <c r="E96" t="s">
        <v>426</v>
      </c>
      <c r="F96">
        <v>1</v>
      </c>
      <c r="G96" t="s">
        <v>112</v>
      </c>
      <c r="H96" t="s">
        <v>72</v>
      </c>
      <c r="I96" t="s">
        <v>72</v>
      </c>
      <c r="J96" t="s">
        <v>189</v>
      </c>
      <c r="K96">
        <v>100</v>
      </c>
      <c r="L96">
        <v>20</v>
      </c>
      <c r="M96">
        <v>80</v>
      </c>
      <c r="N96">
        <v>2000</v>
      </c>
      <c r="O96" t="s">
        <v>89</v>
      </c>
      <c r="P96" t="s">
        <v>427</v>
      </c>
      <c r="Q96">
        <v>2000</v>
      </c>
      <c r="R96" t="s">
        <v>72</v>
      </c>
      <c r="S96" t="s">
        <v>73</v>
      </c>
      <c r="T96" t="s">
        <v>74</v>
      </c>
      <c r="U96" t="s">
        <v>190</v>
      </c>
      <c r="V96" t="s">
        <v>425</v>
      </c>
      <c r="W96" t="s">
        <v>76</v>
      </c>
      <c r="X96" t="s">
        <v>77</v>
      </c>
      <c r="Y96">
        <v>2015</v>
      </c>
      <c r="Z96" t="s">
        <v>72</v>
      </c>
      <c r="AA96" t="s">
        <v>72</v>
      </c>
      <c r="AB96" t="s">
        <v>72</v>
      </c>
      <c r="AC96" t="s">
        <v>72</v>
      </c>
      <c r="AD96" t="s">
        <v>425</v>
      </c>
      <c r="AE96">
        <v>0</v>
      </c>
      <c r="AF96" t="s">
        <v>148</v>
      </c>
      <c r="AG96" t="s">
        <v>94</v>
      </c>
      <c r="AH96" t="s">
        <v>95</v>
      </c>
      <c r="AI96" t="s">
        <v>150</v>
      </c>
      <c r="AJ96" t="s">
        <v>97</v>
      </c>
      <c r="AK96">
        <v>0</v>
      </c>
      <c r="AL96">
        <v>0</v>
      </c>
      <c r="AM96">
        <v>0</v>
      </c>
      <c r="AN96" t="s">
        <v>98</v>
      </c>
      <c r="AO96" t="s">
        <v>82</v>
      </c>
      <c r="AP96" t="s">
        <v>409</v>
      </c>
      <c r="AQ96" t="s">
        <v>72</v>
      </c>
      <c r="AR96" t="s">
        <v>72</v>
      </c>
      <c r="AS96" t="s">
        <v>72</v>
      </c>
      <c r="AT96" t="s">
        <v>176</v>
      </c>
      <c r="AU96" t="s">
        <v>72</v>
      </c>
      <c r="AV96" t="s">
        <v>217</v>
      </c>
      <c r="AW96" t="s">
        <v>72</v>
      </c>
      <c r="AX96" t="s">
        <v>358</v>
      </c>
      <c r="AY96">
        <v>26.417699800000001</v>
      </c>
      <c r="AZ96">
        <v>154</v>
      </c>
      <c r="BA96">
        <v>0.64</v>
      </c>
      <c r="BB96">
        <v>411.47799680000003</v>
      </c>
      <c r="BC96">
        <v>-0.15218799999999999</v>
      </c>
      <c r="BD96">
        <v>0.192053</v>
      </c>
      <c r="BE96">
        <v>890.22497559999999</v>
      </c>
      <c r="BF96">
        <v>4.6116099000000004</v>
      </c>
      <c r="BG96">
        <v>0.48148299999999999</v>
      </c>
      <c r="BH96">
        <v>0.401368</v>
      </c>
      <c r="BI96">
        <v>0.86699899999999996</v>
      </c>
      <c r="BJ96">
        <v>701.00402829999996</v>
      </c>
      <c r="BK96">
        <v>4</v>
      </c>
      <c r="BL96">
        <v>0</v>
      </c>
      <c r="BM96">
        <v>2455</v>
      </c>
      <c r="BN96">
        <v>6602.5800780999998</v>
      </c>
      <c r="BO96">
        <v>49.899101299999998</v>
      </c>
      <c r="BP96">
        <v>602</v>
      </c>
      <c r="BQ96">
        <v>5</v>
      </c>
      <c r="BR96">
        <v>7</v>
      </c>
    </row>
    <row r="97" spans="1:70" x14ac:dyDescent="0.25">
      <c r="A97">
        <v>95</v>
      </c>
      <c r="B97">
        <v>12838</v>
      </c>
      <c r="C97">
        <v>88.412115999999898</v>
      </c>
      <c r="D97">
        <v>26.963632</v>
      </c>
      <c r="E97" t="s">
        <v>428</v>
      </c>
      <c r="F97">
        <v>1</v>
      </c>
      <c r="G97" t="s">
        <v>102</v>
      </c>
      <c r="H97" t="s">
        <v>72</v>
      </c>
      <c r="I97" t="s">
        <v>72</v>
      </c>
      <c r="J97" t="s">
        <v>189</v>
      </c>
      <c r="K97">
        <v>200</v>
      </c>
      <c r="L97">
        <v>55</v>
      </c>
      <c r="M97">
        <v>170</v>
      </c>
      <c r="N97">
        <v>11000</v>
      </c>
      <c r="O97" t="s">
        <v>89</v>
      </c>
      <c r="P97" t="s">
        <v>72</v>
      </c>
      <c r="Q97">
        <v>11000</v>
      </c>
      <c r="R97" t="s">
        <v>72</v>
      </c>
      <c r="S97" t="s">
        <v>73</v>
      </c>
      <c r="T97" t="s">
        <v>74</v>
      </c>
      <c r="U97" t="s">
        <v>190</v>
      </c>
      <c r="V97" t="s">
        <v>429</v>
      </c>
      <c r="W97" t="s">
        <v>76</v>
      </c>
      <c r="X97" t="s">
        <v>77</v>
      </c>
      <c r="Y97">
        <v>2013</v>
      </c>
      <c r="Z97" t="s">
        <v>72</v>
      </c>
      <c r="AA97" t="s">
        <v>72</v>
      </c>
      <c r="AB97" t="s">
        <v>72</v>
      </c>
      <c r="AC97" t="s">
        <v>72</v>
      </c>
      <c r="AD97" t="s">
        <v>72</v>
      </c>
      <c r="AE97">
        <v>0</v>
      </c>
      <c r="AF97" t="s">
        <v>79</v>
      </c>
      <c r="AG97" t="s">
        <v>94</v>
      </c>
      <c r="AH97" t="s">
        <v>95</v>
      </c>
      <c r="AI97" t="s">
        <v>150</v>
      </c>
      <c r="AJ97" t="s">
        <v>97</v>
      </c>
      <c r="AK97">
        <v>0</v>
      </c>
      <c r="AL97">
        <v>0</v>
      </c>
      <c r="AM97">
        <v>0</v>
      </c>
      <c r="AN97" t="s">
        <v>98</v>
      </c>
      <c r="AO97" t="s">
        <v>221</v>
      </c>
      <c r="AP97" t="s">
        <v>114</v>
      </c>
      <c r="AQ97" t="s">
        <v>72</v>
      </c>
      <c r="AR97" t="s">
        <v>72</v>
      </c>
      <c r="AS97" t="s">
        <v>72</v>
      </c>
      <c r="AT97" t="s">
        <v>72</v>
      </c>
      <c r="AU97" t="s">
        <v>72</v>
      </c>
      <c r="AV97" t="s">
        <v>430</v>
      </c>
      <c r="AW97" t="s">
        <v>431</v>
      </c>
      <c r="AX97" t="s">
        <v>432</v>
      </c>
      <c r="AY97">
        <v>33.759998299999999</v>
      </c>
      <c r="AZ97">
        <v>50</v>
      </c>
      <c r="BA97">
        <v>-3.2</v>
      </c>
      <c r="BB97">
        <v>354.70199580000002</v>
      </c>
      <c r="BC97">
        <v>-0.18126100000000001</v>
      </c>
      <c r="BD97">
        <v>0.21464900000000001</v>
      </c>
      <c r="BE97">
        <v>777.81701659999999</v>
      </c>
      <c r="BF97">
        <v>4.7203102000000001</v>
      </c>
      <c r="BG97">
        <v>0.43518600000000002</v>
      </c>
      <c r="BH97">
        <v>1.20831</v>
      </c>
      <c r="BI97">
        <v>0.78413999999999995</v>
      </c>
      <c r="BJ97">
        <v>185.82600400000001</v>
      </c>
      <c r="BK97">
        <v>4</v>
      </c>
      <c r="BL97">
        <v>0</v>
      </c>
      <c r="BM97">
        <v>2026.0799560999999</v>
      </c>
      <c r="BN97">
        <v>6919.0097655999998</v>
      </c>
      <c r="BO97">
        <v>128.9279938</v>
      </c>
      <c r="BP97">
        <v>400</v>
      </c>
      <c r="BQ97">
        <v>6</v>
      </c>
      <c r="BR97">
        <v>7</v>
      </c>
    </row>
    <row r="98" spans="1:70" x14ac:dyDescent="0.25">
      <c r="A98">
        <v>96</v>
      </c>
      <c r="B98">
        <v>13329</v>
      </c>
      <c r="C98">
        <v>88.413539999999898</v>
      </c>
      <c r="D98">
        <v>26.963861000000001</v>
      </c>
      <c r="E98" t="s">
        <v>433</v>
      </c>
      <c r="F98">
        <v>1</v>
      </c>
      <c r="G98" t="s">
        <v>112</v>
      </c>
      <c r="H98" t="s">
        <v>72</v>
      </c>
      <c r="I98" t="s">
        <v>72</v>
      </c>
      <c r="J98" t="s">
        <v>189</v>
      </c>
      <c r="K98">
        <v>110</v>
      </c>
      <c r="L98">
        <v>30</v>
      </c>
      <c r="M98">
        <v>90</v>
      </c>
      <c r="N98">
        <v>3300</v>
      </c>
      <c r="O98" t="s">
        <v>89</v>
      </c>
      <c r="P98" t="s">
        <v>72</v>
      </c>
      <c r="Q98">
        <v>3300</v>
      </c>
      <c r="R98" t="s">
        <v>72</v>
      </c>
      <c r="S98" t="s">
        <v>73</v>
      </c>
      <c r="T98" t="s">
        <v>74</v>
      </c>
      <c r="U98" t="s">
        <v>190</v>
      </c>
      <c r="V98" t="s">
        <v>434</v>
      </c>
      <c r="W98" t="s">
        <v>76</v>
      </c>
      <c r="X98" t="s">
        <v>77</v>
      </c>
      <c r="Y98">
        <v>2015</v>
      </c>
      <c r="Z98" t="s">
        <v>72</v>
      </c>
      <c r="AA98" t="s">
        <v>72</v>
      </c>
      <c r="AB98" t="s">
        <v>72</v>
      </c>
      <c r="AC98" t="s">
        <v>72</v>
      </c>
      <c r="AD98" t="s">
        <v>434</v>
      </c>
      <c r="AE98">
        <v>0</v>
      </c>
      <c r="AF98" t="s">
        <v>148</v>
      </c>
      <c r="AG98" t="s">
        <v>94</v>
      </c>
      <c r="AH98" t="s">
        <v>95</v>
      </c>
      <c r="AI98" t="s">
        <v>150</v>
      </c>
      <c r="AJ98" t="s">
        <v>97</v>
      </c>
      <c r="AK98">
        <v>0</v>
      </c>
      <c r="AL98">
        <v>0</v>
      </c>
      <c r="AM98">
        <v>0</v>
      </c>
      <c r="AN98" t="s">
        <v>98</v>
      </c>
      <c r="AO98" t="s">
        <v>107</v>
      </c>
      <c r="AP98" t="s">
        <v>114</v>
      </c>
      <c r="AQ98" t="s">
        <v>72</v>
      </c>
      <c r="AR98" t="s">
        <v>72</v>
      </c>
      <c r="AS98" t="s">
        <v>72</v>
      </c>
      <c r="AT98" t="s">
        <v>176</v>
      </c>
      <c r="AU98" t="s">
        <v>72</v>
      </c>
      <c r="AV98" t="s">
        <v>217</v>
      </c>
      <c r="AW98" t="s">
        <v>72</v>
      </c>
      <c r="AX98" t="s">
        <v>358</v>
      </c>
      <c r="AY98">
        <v>40.082199099999997</v>
      </c>
      <c r="AZ98">
        <v>32</v>
      </c>
      <c r="BA98">
        <v>-3.2</v>
      </c>
      <c r="BB98">
        <v>373.26599119999997</v>
      </c>
      <c r="BC98">
        <v>-0.209615</v>
      </c>
      <c r="BD98">
        <v>0.26327699999999998</v>
      </c>
      <c r="BE98">
        <v>664.38397220000002</v>
      </c>
      <c r="BF98">
        <v>6.5268797999999997</v>
      </c>
      <c r="BG98">
        <v>0.456791</v>
      </c>
      <c r="BH98">
        <v>3.6353599999999999</v>
      </c>
      <c r="BI98">
        <v>0.77522400000000002</v>
      </c>
      <c r="BJ98">
        <v>200</v>
      </c>
      <c r="BK98">
        <v>4</v>
      </c>
      <c r="BL98">
        <v>0</v>
      </c>
      <c r="BM98">
        <v>2044.0799560999999</v>
      </c>
      <c r="BN98">
        <v>6799.3598633000001</v>
      </c>
      <c r="BO98">
        <v>159.84199520000001</v>
      </c>
      <c r="BP98">
        <v>338</v>
      </c>
      <c r="BQ98">
        <v>5</v>
      </c>
      <c r="BR98">
        <v>7</v>
      </c>
    </row>
    <row r="99" spans="1:70" x14ac:dyDescent="0.25">
      <c r="A99">
        <v>97</v>
      </c>
      <c r="B99">
        <v>13241</v>
      </c>
      <c r="C99">
        <v>88.428950999999898</v>
      </c>
      <c r="D99">
        <v>26.966270000000002</v>
      </c>
      <c r="E99" t="s">
        <v>435</v>
      </c>
      <c r="F99">
        <v>1</v>
      </c>
      <c r="G99" t="s">
        <v>112</v>
      </c>
      <c r="H99" t="s">
        <v>72</v>
      </c>
      <c r="I99" t="s">
        <v>72</v>
      </c>
      <c r="J99" t="s">
        <v>189</v>
      </c>
      <c r="K99">
        <v>70</v>
      </c>
      <c r="L99">
        <v>40</v>
      </c>
      <c r="M99">
        <v>60</v>
      </c>
      <c r="N99">
        <v>2800</v>
      </c>
      <c r="O99" t="s">
        <v>89</v>
      </c>
      <c r="P99" t="s">
        <v>72</v>
      </c>
      <c r="Q99">
        <v>2800</v>
      </c>
      <c r="R99" t="s">
        <v>72</v>
      </c>
      <c r="S99" t="s">
        <v>73</v>
      </c>
      <c r="T99" t="s">
        <v>74</v>
      </c>
      <c r="U99" t="s">
        <v>190</v>
      </c>
      <c r="V99" t="s">
        <v>436</v>
      </c>
      <c r="W99" t="s">
        <v>76</v>
      </c>
      <c r="X99" t="s">
        <v>77</v>
      </c>
      <c r="Y99">
        <v>2015</v>
      </c>
      <c r="Z99" t="s">
        <v>72</v>
      </c>
      <c r="AA99" t="s">
        <v>72</v>
      </c>
      <c r="AB99" t="s">
        <v>72</v>
      </c>
      <c r="AC99" t="s">
        <v>72</v>
      </c>
      <c r="AD99" t="s">
        <v>72</v>
      </c>
      <c r="AE99">
        <v>0</v>
      </c>
      <c r="AF99" t="s">
        <v>148</v>
      </c>
      <c r="AG99" t="s">
        <v>94</v>
      </c>
      <c r="AH99" t="s">
        <v>95</v>
      </c>
      <c r="AI99" t="s">
        <v>437</v>
      </c>
      <c r="AJ99" t="s">
        <v>97</v>
      </c>
      <c r="AK99">
        <v>0</v>
      </c>
      <c r="AL99">
        <v>0</v>
      </c>
      <c r="AM99">
        <v>0</v>
      </c>
      <c r="AN99" t="s">
        <v>336</v>
      </c>
      <c r="AO99" t="s">
        <v>82</v>
      </c>
      <c r="AP99" t="s">
        <v>99</v>
      </c>
      <c r="AQ99" t="s">
        <v>72</v>
      </c>
      <c r="AR99" t="s">
        <v>72</v>
      </c>
      <c r="AS99" t="s">
        <v>72</v>
      </c>
      <c r="AT99" t="s">
        <v>176</v>
      </c>
      <c r="AU99" t="s">
        <v>72</v>
      </c>
      <c r="AV99" t="s">
        <v>217</v>
      </c>
      <c r="AW99" t="s">
        <v>72</v>
      </c>
      <c r="AX99" t="s">
        <v>223</v>
      </c>
      <c r="AY99">
        <v>41.439201400000002</v>
      </c>
      <c r="AZ99">
        <v>66</v>
      </c>
      <c r="BA99">
        <v>-3.2</v>
      </c>
      <c r="BB99">
        <v>369.23400880000003</v>
      </c>
      <c r="BC99">
        <v>-0.19813</v>
      </c>
      <c r="BD99">
        <v>0.244479</v>
      </c>
      <c r="BE99">
        <v>25</v>
      </c>
      <c r="BF99">
        <v>4.5962500999999998</v>
      </c>
      <c r="BG99">
        <v>0.482906</v>
      </c>
      <c r="BH99">
        <v>1.6684399999999999</v>
      </c>
      <c r="BI99">
        <v>0.95595399999999997</v>
      </c>
      <c r="BJ99">
        <v>229.8099976</v>
      </c>
      <c r="BK99">
        <v>4</v>
      </c>
      <c r="BL99">
        <v>2.67259</v>
      </c>
      <c r="BM99">
        <v>1398.3199463000001</v>
      </c>
      <c r="BN99">
        <v>5528.0097655999998</v>
      </c>
      <c r="BO99">
        <v>80.217597999999995</v>
      </c>
      <c r="BP99">
        <v>220</v>
      </c>
      <c r="BQ99">
        <v>5</v>
      </c>
      <c r="BR99">
        <v>7</v>
      </c>
    </row>
    <row r="100" spans="1:70" x14ac:dyDescent="0.25">
      <c r="A100">
        <v>98</v>
      </c>
      <c r="B100">
        <v>782</v>
      </c>
      <c r="C100">
        <v>88.402944000000005</v>
      </c>
      <c r="D100">
        <v>26.970167</v>
      </c>
      <c r="E100" t="s">
        <v>438</v>
      </c>
      <c r="F100">
        <v>3</v>
      </c>
      <c r="G100" t="s">
        <v>439</v>
      </c>
      <c r="H100" t="s">
        <v>440</v>
      </c>
      <c r="I100" t="s">
        <v>72</v>
      </c>
      <c r="J100" t="s">
        <v>72</v>
      </c>
      <c r="K100">
        <v>25</v>
      </c>
      <c r="L100">
        <v>60</v>
      </c>
      <c r="M100">
        <v>25</v>
      </c>
      <c r="N100">
        <v>0</v>
      </c>
      <c r="O100" t="s">
        <v>89</v>
      </c>
      <c r="P100" t="s">
        <v>441</v>
      </c>
      <c r="Q100">
        <v>0</v>
      </c>
      <c r="R100" t="s">
        <v>72</v>
      </c>
      <c r="S100" t="s">
        <v>73</v>
      </c>
      <c r="T100" t="s">
        <v>74</v>
      </c>
      <c r="U100" t="s">
        <v>190</v>
      </c>
      <c r="V100" t="s">
        <v>72</v>
      </c>
      <c r="W100" t="s">
        <v>76</v>
      </c>
      <c r="X100" t="s">
        <v>77</v>
      </c>
      <c r="Y100">
        <v>2010</v>
      </c>
      <c r="Z100" t="s">
        <v>72</v>
      </c>
      <c r="AA100" t="s">
        <v>72</v>
      </c>
      <c r="AB100" t="s">
        <v>72</v>
      </c>
      <c r="AC100" t="s">
        <v>72</v>
      </c>
      <c r="AD100" t="s">
        <v>442</v>
      </c>
      <c r="AE100">
        <v>0</v>
      </c>
      <c r="AF100" t="s">
        <v>148</v>
      </c>
      <c r="AG100" t="s">
        <v>94</v>
      </c>
      <c r="AH100" t="s">
        <v>443</v>
      </c>
      <c r="AI100" t="s">
        <v>210</v>
      </c>
      <c r="AJ100" t="s">
        <v>97</v>
      </c>
      <c r="AK100">
        <v>0</v>
      </c>
      <c r="AL100">
        <v>0</v>
      </c>
      <c r="AM100">
        <v>0</v>
      </c>
      <c r="AN100" t="s">
        <v>271</v>
      </c>
      <c r="AO100" t="s">
        <v>82</v>
      </c>
      <c r="AP100" t="s">
        <v>200</v>
      </c>
      <c r="AQ100" t="s">
        <v>72</v>
      </c>
      <c r="AR100" t="s">
        <v>72</v>
      </c>
      <c r="AS100" t="s">
        <v>72</v>
      </c>
      <c r="AT100" t="s">
        <v>273</v>
      </c>
      <c r="AU100" t="s">
        <v>72</v>
      </c>
      <c r="AV100" t="s">
        <v>217</v>
      </c>
      <c r="AW100" t="s">
        <v>72</v>
      </c>
      <c r="AX100" t="s">
        <v>444</v>
      </c>
      <c r="AY100">
        <v>32.011200000000002</v>
      </c>
      <c r="AZ100">
        <v>94</v>
      </c>
      <c r="BA100">
        <v>0</v>
      </c>
      <c r="BB100">
        <v>470.06298829999997</v>
      </c>
      <c r="BC100">
        <v>-0.195464</v>
      </c>
      <c r="BD100">
        <v>0.24129900000000001</v>
      </c>
      <c r="BE100">
        <v>525</v>
      </c>
      <c r="BF100">
        <v>4.7872700999999998</v>
      </c>
      <c r="BG100">
        <v>0.54320900000000005</v>
      </c>
      <c r="BH100">
        <v>1.1414599000000001</v>
      </c>
      <c r="BI100">
        <v>0.54438399999999998</v>
      </c>
      <c r="BJ100">
        <v>736.75799559999996</v>
      </c>
      <c r="BK100">
        <v>4</v>
      </c>
      <c r="BL100">
        <v>13.274800300000001</v>
      </c>
      <c r="BM100">
        <v>1286.0400391000001</v>
      </c>
      <c r="BN100">
        <v>7227.8598633000001</v>
      </c>
      <c r="BO100">
        <v>187.35200499999999</v>
      </c>
      <c r="BP100">
        <v>743</v>
      </c>
      <c r="BQ100">
        <v>6</v>
      </c>
      <c r="BR100">
        <v>7</v>
      </c>
    </row>
    <row r="101" spans="1:70" x14ac:dyDescent="0.25">
      <c r="A101">
        <v>99</v>
      </c>
      <c r="B101">
        <v>12805</v>
      </c>
      <c r="C101">
        <v>88.427149</v>
      </c>
      <c r="D101">
        <v>26.969553999999899</v>
      </c>
      <c r="E101" t="s">
        <v>445</v>
      </c>
      <c r="F101">
        <v>3</v>
      </c>
      <c r="G101" t="s">
        <v>112</v>
      </c>
      <c r="H101" t="s">
        <v>72</v>
      </c>
      <c r="I101" t="s">
        <v>72</v>
      </c>
      <c r="J101" t="s">
        <v>189</v>
      </c>
      <c r="K101">
        <v>450</v>
      </c>
      <c r="L101">
        <v>300</v>
      </c>
      <c r="M101">
        <v>335</v>
      </c>
      <c r="N101">
        <v>135000</v>
      </c>
      <c r="O101" t="s">
        <v>89</v>
      </c>
      <c r="P101" t="s">
        <v>72</v>
      </c>
      <c r="Q101">
        <v>405000</v>
      </c>
      <c r="R101" t="s">
        <v>72</v>
      </c>
      <c r="S101" t="s">
        <v>73</v>
      </c>
      <c r="T101" t="s">
        <v>74</v>
      </c>
      <c r="U101" t="s">
        <v>190</v>
      </c>
      <c r="V101" t="s">
        <v>446</v>
      </c>
      <c r="W101" t="s">
        <v>208</v>
      </c>
      <c r="X101" t="s">
        <v>77</v>
      </c>
      <c r="Y101">
        <v>1968</v>
      </c>
      <c r="Z101" t="s">
        <v>72</v>
      </c>
      <c r="AA101" t="s">
        <v>72</v>
      </c>
      <c r="AB101" t="s">
        <v>72</v>
      </c>
      <c r="AC101" t="s">
        <v>72</v>
      </c>
      <c r="AD101" t="s">
        <v>447</v>
      </c>
      <c r="AE101">
        <v>0</v>
      </c>
      <c r="AF101" t="s">
        <v>148</v>
      </c>
      <c r="AG101" t="s">
        <v>94</v>
      </c>
      <c r="AH101" t="s">
        <v>95</v>
      </c>
      <c r="AI101" t="s">
        <v>96</v>
      </c>
      <c r="AJ101" t="s">
        <v>97</v>
      </c>
      <c r="AK101">
        <v>0</v>
      </c>
      <c r="AL101">
        <v>0</v>
      </c>
      <c r="AM101">
        <v>0</v>
      </c>
      <c r="AN101" t="s">
        <v>336</v>
      </c>
      <c r="AO101" t="s">
        <v>82</v>
      </c>
      <c r="AP101" t="s">
        <v>448</v>
      </c>
      <c r="AQ101" t="s">
        <v>72</v>
      </c>
      <c r="AR101" t="s">
        <v>72</v>
      </c>
      <c r="AS101" t="s">
        <v>72</v>
      </c>
      <c r="AT101" t="s">
        <v>258</v>
      </c>
      <c r="AU101" t="s">
        <v>72</v>
      </c>
      <c r="AV101" t="s">
        <v>72</v>
      </c>
      <c r="AW101" t="s">
        <v>72</v>
      </c>
      <c r="AX101" t="s">
        <v>449</v>
      </c>
      <c r="AY101">
        <v>29.9950008</v>
      </c>
      <c r="AZ101">
        <v>109</v>
      </c>
      <c r="BA101">
        <v>0</v>
      </c>
      <c r="BB101">
        <v>337.73699950000002</v>
      </c>
      <c r="BC101">
        <v>-0.1172</v>
      </c>
      <c r="BD101">
        <v>0.144539</v>
      </c>
      <c r="BE101">
        <v>142.5220032</v>
      </c>
      <c r="BF101">
        <v>6.9038801000000003</v>
      </c>
      <c r="BG101">
        <v>0.48366100000000001</v>
      </c>
      <c r="BH101">
        <v>3.2589098999999999</v>
      </c>
      <c r="BI101">
        <v>0.87766100000000002</v>
      </c>
      <c r="BJ101">
        <v>237.5</v>
      </c>
      <c r="BK101">
        <v>4</v>
      </c>
      <c r="BL101">
        <v>4.4874001000000003</v>
      </c>
      <c r="BM101">
        <v>1341.9300536999999</v>
      </c>
      <c r="BN101">
        <v>5375.0600586</v>
      </c>
      <c r="BO101">
        <v>75.963798499999996</v>
      </c>
      <c r="BP101">
        <v>154</v>
      </c>
      <c r="BQ101">
        <v>5</v>
      </c>
      <c r="BR101">
        <v>7</v>
      </c>
    </row>
    <row r="102" spans="1:70" x14ac:dyDescent="0.25">
      <c r="A102">
        <v>100</v>
      </c>
      <c r="B102">
        <v>13359</v>
      </c>
      <c r="C102">
        <v>88.425521000000003</v>
      </c>
      <c r="D102">
        <v>26.969650999999899</v>
      </c>
      <c r="E102" t="s">
        <v>450</v>
      </c>
      <c r="F102">
        <v>1</v>
      </c>
      <c r="G102" t="s">
        <v>102</v>
      </c>
      <c r="H102" t="s">
        <v>72</v>
      </c>
      <c r="I102" t="s">
        <v>72</v>
      </c>
      <c r="J102" t="s">
        <v>189</v>
      </c>
      <c r="K102">
        <v>80</v>
      </c>
      <c r="L102">
        <v>200</v>
      </c>
      <c r="M102">
        <v>70</v>
      </c>
      <c r="N102">
        <v>16000</v>
      </c>
      <c r="O102" t="s">
        <v>89</v>
      </c>
      <c r="P102" t="s">
        <v>215</v>
      </c>
      <c r="Q102">
        <v>16000</v>
      </c>
      <c r="R102" t="s">
        <v>72</v>
      </c>
      <c r="S102" t="s">
        <v>73</v>
      </c>
      <c r="T102" t="s">
        <v>74</v>
      </c>
      <c r="U102" t="s">
        <v>190</v>
      </c>
      <c r="V102" t="s">
        <v>451</v>
      </c>
      <c r="W102" t="s">
        <v>76</v>
      </c>
      <c r="X102" t="s">
        <v>77</v>
      </c>
      <c r="Y102">
        <v>2015</v>
      </c>
      <c r="Z102" t="s">
        <v>72</v>
      </c>
      <c r="AA102" t="s">
        <v>72</v>
      </c>
      <c r="AB102" t="s">
        <v>72</v>
      </c>
      <c r="AC102" t="s">
        <v>72</v>
      </c>
      <c r="AD102" t="s">
        <v>72</v>
      </c>
      <c r="AE102">
        <v>0</v>
      </c>
      <c r="AF102" t="s">
        <v>79</v>
      </c>
      <c r="AG102" t="s">
        <v>94</v>
      </c>
      <c r="AH102" t="s">
        <v>95</v>
      </c>
      <c r="AI102" t="s">
        <v>150</v>
      </c>
      <c r="AJ102" t="s">
        <v>97</v>
      </c>
      <c r="AK102">
        <v>0</v>
      </c>
      <c r="AL102">
        <v>0</v>
      </c>
      <c r="AM102">
        <v>0</v>
      </c>
      <c r="AN102" t="s">
        <v>336</v>
      </c>
      <c r="AO102" t="s">
        <v>82</v>
      </c>
      <c r="AP102" t="s">
        <v>448</v>
      </c>
      <c r="AQ102" t="s">
        <v>72</v>
      </c>
      <c r="AR102" t="s">
        <v>72</v>
      </c>
      <c r="AS102" t="s">
        <v>72</v>
      </c>
      <c r="AT102" t="s">
        <v>176</v>
      </c>
      <c r="AU102" t="s">
        <v>72</v>
      </c>
      <c r="AV102" t="s">
        <v>217</v>
      </c>
      <c r="AW102" t="s">
        <v>72</v>
      </c>
      <c r="AX102" t="s">
        <v>452</v>
      </c>
      <c r="AY102">
        <v>34.625400499999998</v>
      </c>
      <c r="AZ102">
        <v>89</v>
      </c>
      <c r="BA102">
        <v>-2.5599999000000002</v>
      </c>
      <c r="BB102">
        <v>345.4500122</v>
      </c>
      <c r="BC102">
        <v>-0.16509599999999999</v>
      </c>
      <c r="BD102">
        <v>0.21038299999999999</v>
      </c>
      <c r="BE102">
        <v>17.677700000000002</v>
      </c>
      <c r="BF102">
        <v>6.4270801999999998</v>
      </c>
      <c r="BG102">
        <v>0.50555600000000001</v>
      </c>
      <c r="BH102">
        <v>3.0624199000000001</v>
      </c>
      <c r="BI102">
        <v>0.85422699999999996</v>
      </c>
      <c r="BJ102">
        <v>400</v>
      </c>
      <c r="BK102">
        <v>4</v>
      </c>
      <c r="BL102">
        <v>1.11239</v>
      </c>
      <c r="BM102">
        <v>1490.3900146000001</v>
      </c>
      <c r="BN102">
        <v>5488.9199219000002</v>
      </c>
      <c r="BO102">
        <v>79.991996799999995</v>
      </c>
      <c r="BP102">
        <v>264</v>
      </c>
      <c r="BQ102">
        <v>5</v>
      </c>
      <c r="BR102">
        <v>7</v>
      </c>
    </row>
    <row r="103" spans="1:70" x14ac:dyDescent="0.25">
      <c r="A103">
        <v>101</v>
      </c>
      <c r="B103">
        <v>12637</v>
      </c>
      <c r="C103">
        <v>88.417195000000007</v>
      </c>
      <c r="D103">
        <v>26.970389999999899</v>
      </c>
      <c r="E103" t="s">
        <v>453</v>
      </c>
      <c r="F103">
        <v>1</v>
      </c>
      <c r="G103" t="s">
        <v>112</v>
      </c>
      <c r="H103" t="s">
        <v>72</v>
      </c>
      <c r="I103" t="s">
        <v>72</v>
      </c>
      <c r="J103" t="s">
        <v>189</v>
      </c>
      <c r="K103">
        <v>20</v>
      </c>
      <c r="L103">
        <v>15</v>
      </c>
      <c r="M103">
        <v>10</v>
      </c>
      <c r="N103">
        <v>300</v>
      </c>
      <c r="O103" t="s">
        <v>89</v>
      </c>
      <c r="P103" t="s">
        <v>72</v>
      </c>
      <c r="Q103">
        <v>300</v>
      </c>
      <c r="R103" t="s">
        <v>72</v>
      </c>
      <c r="S103" t="s">
        <v>73</v>
      </c>
      <c r="T103" t="s">
        <v>74</v>
      </c>
      <c r="U103" t="s">
        <v>190</v>
      </c>
      <c r="V103" t="s">
        <v>454</v>
      </c>
      <c r="W103" t="s">
        <v>76</v>
      </c>
      <c r="X103" t="s">
        <v>77</v>
      </c>
      <c r="Y103">
        <v>2011</v>
      </c>
      <c r="Z103" t="s">
        <v>72</v>
      </c>
      <c r="AA103" t="s">
        <v>72</v>
      </c>
      <c r="AB103" t="s">
        <v>72</v>
      </c>
      <c r="AC103" t="s">
        <v>72</v>
      </c>
      <c r="AD103" t="s">
        <v>72</v>
      </c>
      <c r="AE103">
        <v>0</v>
      </c>
      <c r="AF103" t="s">
        <v>148</v>
      </c>
      <c r="AG103" t="s">
        <v>94</v>
      </c>
      <c r="AH103" t="s">
        <v>95</v>
      </c>
      <c r="AI103" t="s">
        <v>96</v>
      </c>
      <c r="AJ103" t="s">
        <v>97</v>
      </c>
      <c r="AK103">
        <v>0</v>
      </c>
      <c r="AL103">
        <v>0</v>
      </c>
      <c r="AM103">
        <v>0</v>
      </c>
      <c r="AN103" t="s">
        <v>192</v>
      </c>
      <c r="AO103" t="s">
        <v>82</v>
      </c>
      <c r="AP103" t="s">
        <v>386</v>
      </c>
      <c r="AQ103" t="s">
        <v>72</v>
      </c>
      <c r="AR103" t="s">
        <v>72</v>
      </c>
      <c r="AS103" t="s">
        <v>72</v>
      </c>
      <c r="AT103" t="s">
        <v>72</v>
      </c>
      <c r="AU103" t="s">
        <v>72</v>
      </c>
      <c r="AV103" t="s">
        <v>217</v>
      </c>
      <c r="AW103" t="s">
        <v>72</v>
      </c>
      <c r="AX103" t="s">
        <v>103</v>
      </c>
      <c r="AY103">
        <v>22.383100500000001</v>
      </c>
      <c r="AZ103">
        <v>147</v>
      </c>
      <c r="BA103">
        <v>1.28</v>
      </c>
      <c r="BB103">
        <v>375.01699830000001</v>
      </c>
      <c r="BC103">
        <v>-0.13947300000000001</v>
      </c>
      <c r="BD103">
        <v>0.185145</v>
      </c>
      <c r="BE103">
        <v>17.677700000000002</v>
      </c>
      <c r="BF103">
        <v>3.41289</v>
      </c>
      <c r="BG103">
        <v>0.43650800000000001</v>
      </c>
      <c r="BH103">
        <v>-7.7924899999999999</v>
      </c>
      <c r="BI103">
        <v>0.83822700000000006</v>
      </c>
      <c r="BJ103">
        <v>79.056899999999999</v>
      </c>
      <c r="BK103">
        <v>7</v>
      </c>
      <c r="BL103">
        <v>7.6635300000000003E-2</v>
      </c>
      <c r="BM103">
        <v>1594.5200195</v>
      </c>
      <c r="BN103">
        <v>6053.7299805000002</v>
      </c>
      <c r="BO103">
        <v>60.945400200000002</v>
      </c>
      <c r="BP103">
        <v>257</v>
      </c>
      <c r="BQ103">
        <v>5</v>
      </c>
      <c r="BR103">
        <v>7</v>
      </c>
    </row>
    <row r="104" spans="1:70" x14ac:dyDescent="0.25">
      <c r="A104">
        <v>102</v>
      </c>
      <c r="B104">
        <v>13358</v>
      </c>
      <c r="C104">
        <v>88.424661</v>
      </c>
      <c r="D104">
        <v>26.97137</v>
      </c>
      <c r="E104" t="s">
        <v>455</v>
      </c>
      <c r="F104">
        <v>1</v>
      </c>
      <c r="G104" t="s">
        <v>102</v>
      </c>
      <c r="H104" t="s">
        <v>72</v>
      </c>
      <c r="I104" t="s">
        <v>72</v>
      </c>
      <c r="J104" t="s">
        <v>189</v>
      </c>
      <c r="K104">
        <v>80</v>
      </c>
      <c r="L104">
        <v>200</v>
      </c>
      <c r="M104">
        <v>70</v>
      </c>
      <c r="N104">
        <v>16000</v>
      </c>
      <c r="O104" t="s">
        <v>89</v>
      </c>
      <c r="P104" t="s">
        <v>72</v>
      </c>
      <c r="Q104">
        <v>16000</v>
      </c>
      <c r="R104" t="s">
        <v>72</v>
      </c>
      <c r="S104" t="s">
        <v>73</v>
      </c>
      <c r="T104" t="s">
        <v>74</v>
      </c>
      <c r="U104" t="s">
        <v>190</v>
      </c>
      <c r="V104" t="s">
        <v>451</v>
      </c>
      <c r="W104" t="s">
        <v>76</v>
      </c>
      <c r="X104" t="s">
        <v>77</v>
      </c>
      <c r="Y104">
        <v>2015</v>
      </c>
      <c r="Z104" t="s">
        <v>72</v>
      </c>
      <c r="AA104" t="s">
        <v>72</v>
      </c>
      <c r="AB104" t="s">
        <v>72</v>
      </c>
      <c r="AC104" t="s">
        <v>72</v>
      </c>
      <c r="AD104" t="s">
        <v>451</v>
      </c>
      <c r="AE104">
        <v>0</v>
      </c>
      <c r="AF104" t="s">
        <v>79</v>
      </c>
      <c r="AG104" t="s">
        <v>94</v>
      </c>
      <c r="AH104" t="s">
        <v>95</v>
      </c>
      <c r="AI104" t="s">
        <v>150</v>
      </c>
      <c r="AJ104" t="s">
        <v>97</v>
      </c>
      <c r="AK104">
        <v>0</v>
      </c>
      <c r="AL104">
        <v>0</v>
      </c>
      <c r="AM104">
        <v>0</v>
      </c>
      <c r="AN104" t="s">
        <v>98</v>
      </c>
      <c r="AO104" t="s">
        <v>82</v>
      </c>
      <c r="AP104" t="s">
        <v>99</v>
      </c>
      <c r="AQ104" t="s">
        <v>72</v>
      </c>
      <c r="AR104" t="s">
        <v>72</v>
      </c>
      <c r="AS104" t="s">
        <v>72</v>
      </c>
      <c r="AT104" t="s">
        <v>176</v>
      </c>
      <c r="AU104" t="s">
        <v>72</v>
      </c>
      <c r="AV104" t="s">
        <v>217</v>
      </c>
      <c r="AW104" t="s">
        <v>72</v>
      </c>
      <c r="AX104" t="s">
        <v>363</v>
      </c>
      <c r="AY104">
        <v>37.598598500000001</v>
      </c>
      <c r="AZ104">
        <v>66</v>
      </c>
      <c r="BA104">
        <v>-1.92</v>
      </c>
      <c r="BB104">
        <v>337.4100037</v>
      </c>
      <c r="BC104">
        <v>-0.13727200000000001</v>
      </c>
      <c r="BD104">
        <v>0.172429</v>
      </c>
      <c r="BE104">
        <v>0</v>
      </c>
      <c r="BF104">
        <v>5.2652201999999999</v>
      </c>
      <c r="BG104">
        <v>0.49444399999999999</v>
      </c>
      <c r="BH104">
        <v>2.1447001000000001</v>
      </c>
      <c r="BI104">
        <v>0.80336200000000002</v>
      </c>
      <c r="BJ104">
        <v>500.31201170000003</v>
      </c>
      <c r="BK104">
        <v>4</v>
      </c>
      <c r="BL104">
        <v>0</v>
      </c>
      <c r="BM104">
        <v>1512.9599608999999</v>
      </c>
      <c r="BN104">
        <v>5422.0200194999998</v>
      </c>
      <c r="BO104">
        <v>89.255897500000003</v>
      </c>
      <c r="BP104">
        <v>301</v>
      </c>
      <c r="BQ104">
        <v>5</v>
      </c>
      <c r="BR104">
        <v>7</v>
      </c>
    </row>
    <row r="105" spans="1:70" x14ac:dyDescent="0.25">
      <c r="A105">
        <v>103</v>
      </c>
      <c r="B105">
        <v>12857</v>
      </c>
      <c r="C105">
        <v>88.446637999999894</v>
      </c>
      <c r="D105">
        <v>26.971606000000001</v>
      </c>
      <c r="E105" t="s">
        <v>456</v>
      </c>
      <c r="F105">
        <v>1</v>
      </c>
      <c r="G105" t="s">
        <v>188</v>
      </c>
      <c r="H105" t="s">
        <v>72</v>
      </c>
      <c r="I105" t="s">
        <v>72</v>
      </c>
      <c r="J105" t="s">
        <v>189</v>
      </c>
      <c r="K105">
        <v>508</v>
      </c>
      <c r="L105">
        <v>105</v>
      </c>
      <c r="M105">
        <v>248</v>
      </c>
      <c r="N105">
        <v>53340</v>
      </c>
      <c r="O105" t="s">
        <v>89</v>
      </c>
      <c r="P105" t="s">
        <v>457</v>
      </c>
      <c r="Q105">
        <v>53340</v>
      </c>
      <c r="R105" t="s">
        <v>72</v>
      </c>
      <c r="S105" t="s">
        <v>73</v>
      </c>
      <c r="T105" t="s">
        <v>74</v>
      </c>
      <c r="U105" t="s">
        <v>190</v>
      </c>
      <c r="V105" t="s">
        <v>458</v>
      </c>
      <c r="W105" t="s">
        <v>208</v>
      </c>
      <c r="X105" t="s">
        <v>77</v>
      </c>
      <c r="Y105">
        <v>2011</v>
      </c>
      <c r="Z105" t="s">
        <v>72</v>
      </c>
      <c r="AA105" t="s">
        <v>72</v>
      </c>
      <c r="AB105" t="s">
        <v>72</v>
      </c>
      <c r="AC105" t="s">
        <v>72</v>
      </c>
      <c r="AD105" t="s">
        <v>72</v>
      </c>
      <c r="AE105">
        <v>0</v>
      </c>
      <c r="AF105" t="s">
        <v>79</v>
      </c>
      <c r="AG105" t="s">
        <v>94</v>
      </c>
      <c r="AH105" t="s">
        <v>95</v>
      </c>
      <c r="AI105" t="s">
        <v>96</v>
      </c>
      <c r="AJ105" t="s">
        <v>97</v>
      </c>
      <c r="AK105">
        <v>0</v>
      </c>
      <c r="AL105">
        <v>0</v>
      </c>
      <c r="AM105">
        <v>0</v>
      </c>
      <c r="AN105" t="s">
        <v>336</v>
      </c>
      <c r="AO105" t="s">
        <v>82</v>
      </c>
      <c r="AP105" t="s">
        <v>99</v>
      </c>
      <c r="AQ105" t="s">
        <v>72</v>
      </c>
      <c r="AR105" t="s">
        <v>72</v>
      </c>
      <c r="AS105" t="s">
        <v>72</v>
      </c>
      <c r="AT105" t="s">
        <v>72</v>
      </c>
      <c r="AU105" t="s">
        <v>72</v>
      </c>
      <c r="AV105" t="s">
        <v>394</v>
      </c>
      <c r="AW105" t="s">
        <v>72</v>
      </c>
      <c r="AX105" t="s">
        <v>459</v>
      </c>
      <c r="AY105">
        <v>37.244399999999999</v>
      </c>
      <c r="AZ105">
        <v>247</v>
      </c>
      <c r="BA105">
        <v>-1.28</v>
      </c>
      <c r="BB105">
        <v>539.3280029</v>
      </c>
      <c r="BC105">
        <v>-9.2939499999999994E-2</v>
      </c>
      <c r="BD105">
        <v>0.13810700000000001</v>
      </c>
      <c r="BE105">
        <v>1730.0699463000001</v>
      </c>
      <c r="BF105">
        <v>6.5353899000000002</v>
      </c>
      <c r="BG105">
        <v>0.50666599999999995</v>
      </c>
      <c r="BH105">
        <v>3.49051</v>
      </c>
      <c r="BI105">
        <v>0.489431</v>
      </c>
      <c r="BJ105">
        <v>367.63598630000001</v>
      </c>
      <c r="BK105">
        <v>6</v>
      </c>
      <c r="BL105">
        <v>14.6444998</v>
      </c>
      <c r="BM105">
        <v>783.12298580000004</v>
      </c>
      <c r="BN105">
        <v>4047.3000487999998</v>
      </c>
      <c r="BO105">
        <v>333.43499759999997</v>
      </c>
      <c r="BP105">
        <v>374</v>
      </c>
      <c r="BQ105">
        <v>5</v>
      </c>
      <c r="BR105">
        <v>3</v>
      </c>
    </row>
    <row r="106" spans="1:70" x14ac:dyDescent="0.25">
      <c r="A106">
        <v>104</v>
      </c>
      <c r="B106">
        <v>12660</v>
      </c>
      <c r="C106">
        <v>88.418800000000005</v>
      </c>
      <c r="D106">
        <v>26.975300000000001</v>
      </c>
      <c r="E106" t="s">
        <v>460</v>
      </c>
      <c r="F106">
        <v>1</v>
      </c>
      <c r="G106" t="s">
        <v>102</v>
      </c>
      <c r="H106" t="s">
        <v>72</v>
      </c>
      <c r="I106" t="s">
        <v>72</v>
      </c>
      <c r="J106" t="s">
        <v>189</v>
      </c>
      <c r="K106">
        <v>15</v>
      </c>
      <c r="L106">
        <v>30</v>
      </c>
      <c r="M106">
        <v>10</v>
      </c>
      <c r="N106">
        <v>450</v>
      </c>
      <c r="O106" t="s">
        <v>89</v>
      </c>
      <c r="P106" t="s">
        <v>72</v>
      </c>
      <c r="Q106">
        <v>450</v>
      </c>
      <c r="R106" t="s">
        <v>72</v>
      </c>
      <c r="S106" t="s">
        <v>73</v>
      </c>
      <c r="T106" t="s">
        <v>74</v>
      </c>
      <c r="U106" t="s">
        <v>190</v>
      </c>
      <c r="V106" t="s">
        <v>461</v>
      </c>
      <c r="W106" t="s">
        <v>76</v>
      </c>
      <c r="X106" t="s">
        <v>77</v>
      </c>
      <c r="Y106">
        <v>2011</v>
      </c>
      <c r="Z106" t="s">
        <v>72</v>
      </c>
      <c r="AA106" t="s">
        <v>72</v>
      </c>
      <c r="AB106" t="s">
        <v>72</v>
      </c>
      <c r="AC106" t="s">
        <v>72</v>
      </c>
      <c r="AD106" t="s">
        <v>93</v>
      </c>
      <c r="AE106">
        <v>0</v>
      </c>
      <c r="AF106" t="s">
        <v>79</v>
      </c>
      <c r="AG106" t="s">
        <v>94</v>
      </c>
      <c r="AH106" t="s">
        <v>95</v>
      </c>
      <c r="AI106" t="s">
        <v>96</v>
      </c>
      <c r="AJ106" t="s">
        <v>97</v>
      </c>
      <c r="AK106">
        <v>0</v>
      </c>
      <c r="AL106">
        <v>0</v>
      </c>
      <c r="AM106">
        <v>0</v>
      </c>
      <c r="AN106" t="s">
        <v>98</v>
      </c>
      <c r="AO106" t="s">
        <v>82</v>
      </c>
      <c r="AP106" t="s">
        <v>114</v>
      </c>
      <c r="AQ106" t="s">
        <v>72</v>
      </c>
      <c r="AR106" t="s">
        <v>72</v>
      </c>
      <c r="AS106" t="s">
        <v>72</v>
      </c>
      <c r="AT106" t="s">
        <v>72</v>
      </c>
      <c r="AU106" t="s">
        <v>72</v>
      </c>
      <c r="AV106" t="s">
        <v>72</v>
      </c>
      <c r="AW106" t="s">
        <v>72</v>
      </c>
      <c r="AX106" t="s">
        <v>462</v>
      </c>
      <c r="AY106">
        <v>35.420299499999999</v>
      </c>
      <c r="AZ106">
        <v>47</v>
      </c>
      <c r="BA106">
        <v>0</v>
      </c>
      <c r="BB106">
        <v>358.10501099999999</v>
      </c>
      <c r="BC106">
        <v>-0.12759799999999999</v>
      </c>
      <c r="BD106">
        <v>0.16899800000000001</v>
      </c>
      <c r="BE106">
        <v>0</v>
      </c>
      <c r="BF106">
        <v>5.1691197999999998</v>
      </c>
      <c r="BG106">
        <v>0.49536999999999998</v>
      </c>
      <c r="BH106">
        <v>1.8579299</v>
      </c>
      <c r="BI106">
        <v>0.90059500000000003</v>
      </c>
      <c r="BJ106">
        <v>70.710701</v>
      </c>
      <c r="BK106">
        <v>4</v>
      </c>
      <c r="BL106">
        <v>1.0890200000000001</v>
      </c>
      <c r="BM106">
        <v>1364.7299805</v>
      </c>
      <c r="BN106">
        <v>5601.6899414</v>
      </c>
      <c r="BO106">
        <v>117.64600369999999</v>
      </c>
      <c r="BP106">
        <v>240</v>
      </c>
      <c r="BQ106">
        <v>5</v>
      </c>
      <c r="BR106">
        <v>7</v>
      </c>
    </row>
    <row r="107" spans="1:70" x14ac:dyDescent="0.25">
      <c r="A107">
        <v>105</v>
      </c>
      <c r="B107">
        <v>803</v>
      </c>
      <c r="C107">
        <v>88.423917000000003</v>
      </c>
      <c r="D107">
        <v>26.9752779999999</v>
      </c>
      <c r="E107" t="s">
        <v>463</v>
      </c>
      <c r="F107">
        <v>0.7</v>
      </c>
      <c r="G107" t="s">
        <v>464</v>
      </c>
      <c r="H107" t="s">
        <v>72</v>
      </c>
      <c r="I107" t="s">
        <v>72</v>
      </c>
      <c r="J107" t="s">
        <v>72</v>
      </c>
      <c r="K107">
        <v>14</v>
      </c>
      <c r="L107">
        <v>35</v>
      </c>
      <c r="M107">
        <v>14</v>
      </c>
      <c r="N107">
        <v>0</v>
      </c>
      <c r="O107" t="s">
        <v>89</v>
      </c>
      <c r="P107" t="s">
        <v>72</v>
      </c>
      <c r="Q107">
        <v>0</v>
      </c>
      <c r="R107" t="s">
        <v>72</v>
      </c>
      <c r="S107" t="s">
        <v>73</v>
      </c>
      <c r="T107" t="s">
        <v>74</v>
      </c>
      <c r="U107" t="s">
        <v>190</v>
      </c>
      <c r="V107" t="s">
        <v>72</v>
      </c>
      <c r="W107" t="s">
        <v>76</v>
      </c>
      <c r="X107" t="s">
        <v>77</v>
      </c>
      <c r="Y107">
        <v>0</v>
      </c>
      <c r="Z107" t="s">
        <v>72</v>
      </c>
      <c r="AA107" t="s">
        <v>72</v>
      </c>
      <c r="AB107" t="s">
        <v>72</v>
      </c>
      <c r="AC107" t="s">
        <v>72</v>
      </c>
      <c r="AD107" t="s">
        <v>465</v>
      </c>
      <c r="AE107">
        <v>0</v>
      </c>
      <c r="AF107" t="s">
        <v>148</v>
      </c>
      <c r="AG107" t="s">
        <v>94</v>
      </c>
      <c r="AH107" t="s">
        <v>443</v>
      </c>
      <c r="AI107" t="s">
        <v>96</v>
      </c>
      <c r="AJ107" t="s">
        <v>97</v>
      </c>
      <c r="AK107">
        <v>0</v>
      </c>
      <c r="AL107">
        <v>0</v>
      </c>
      <c r="AM107">
        <v>0</v>
      </c>
      <c r="AN107" t="s">
        <v>271</v>
      </c>
      <c r="AO107" t="s">
        <v>82</v>
      </c>
      <c r="AP107" t="s">
        <v>272</v>
      </c>
      <c r="AQ107" t="s">
        <v>72</v>
      </c>
      <c r="AR107" t="s">
        <v>72</v>
      </c>
      <c r="AS107" t="s">
        <v>72</v>
      </c>
      <c r="AT107" t="s">
        <v>273</v>
      </c>
      <c r="AU107" t="s">
        <v>72</v>
      </c>
      <c r="AV107" t="s">
        <v>217</v>
      </c>
      <c r="AW107" t="s">
        <v>72</v>
      </c>
      <c r="AX107" t="s">
        <v>274</v>
      </c>
      <c r="AY107">
        <v>23.8365002</v>
      </c>
      <c r="AZ107">
        <v>211</v>
      </c>
      <c r="BA107">
        <v>2.5599999000000002</v>
      </c>
      <c r="BB107">
        <v>340.81298829999997</v>
      </c>
      <c r="BC107">
        <v>-7.1857400000000002E-2</v>
      </c>
      <c r="BD107">
        <v>0.13245699999999999</v>
      </c>
      <c r="BE107">
        <v>12.5</v>
      </c>
      <c r="BF107">
        <v>5.7404900000000003</v>
      </c>
      <c r="BG107">
        <v>0.50926000000000005</v>
      </c>
      <c r="BH107">
        <v>1.4880800000000001</v>
      </c>
      <c r="BI107">
        <v>0.84089800000000003</v>
      </c>
      <c r="BJ107">
        <v>369.33200069999998</v>
      </c>
      <c r="BK107">
        <v>4</v>
      </c>
      <c r="BL107">
        <v>0</v>
      </c>
      <c r="BM107">
        <v>1537.5</v>
      </c>
      <c r="BN107">
        <v>5192.7797852000003</v>
      </c>
      <c r="BO107">
        <v>264.8059998</v>
      </c>
      <c r="BP107">
        <v>307</v>
      </c>
      <c r="BQ107">
        <v>5</v>
      </c>
      <c r="BR107">
        <v>7</v>
      </c>
    </row>
    <row r="108" spans="1:70" x14ac:dyDescent="0.25">
      <c r="A108">
        <v>106</v>
      </c>
      <c r="B108">
        <v>13162</v>
      </c>
      <c r="C108">
        <v>88.418983999999895</v>
      </c>
      <c r="D108">
        <v>26.9757029999999</v>
      </c>
      <c r="E108" t="s">
        <v>466</v>
      </c>
      <c r="F108">
        <v>1</v>
      </c>
      <c r="G108" t="s">
        <v>102</v>
      </c>
      <c r="H108" t="s">
        <v>72</v>
      </c>
      <c r="I108" t="s">
        <v>72</v>
      </c>
      <c r="J108" t="s">
        <v>189</v>
      </c>
      <c r="K108">
        <v>10</v>
      </c>
      <c r="L108">
        <v>16</v>
      </c>
      <c r="M108">
        <v>8</v>
      </c>
      <c r="N108">
        <v>160</v>
      </c>
      <c r="O108" t="s">
        <v>89</v>
      </c>
      <c r="P108" t="s">
        <v>215</v>
      </c>
      <c r="Q108">
        <v>160</v>
      </c>
      <c r="R108" t="s">
        <v>72</v>
      </c>
      <c r="S108" t="s">
        <v>73</v>
      </c>
      <c r="T108" t="s">
        <v>74</v>
      </c>
      <c r="U108" t="s">
        <v>190</v>
      </c>
      <c r="V108" t="s">
        <v>467</v>
      </c>
      <c r="W108" t="s">
        <v>76</v>
      </c>
      <c r="X108" t="s">
        <v>77</v>
      </c>
      <c r="Y108">
        <v>2015</v>
      </c>
      <c r="Z108" t="s">
        <v>72</v>
      </c>
      <c r="AA108" t="s">
        <v>72</v>
      </c>
      <c r="AB108" t="s">
        <v>72</v>
      </c>
      <c r="AC108" t="s">
        <v>72</v>
      </c>
      <c r="AD108" t="s">
        <v>72</v>
      </c>
      <c r="AE108">
        <v>0</v>
      </c>
      <c r="AF108" t="s">
        <v>79</v>
      </c>
      <c r="AG108" t="s">
        <v>94</v>
      </c>
      <c r="AH108" t="s">
        <v>95</v>
      </c>
      <c r="AI108" t="s">
        <v>150</v>
      </c>
      <c r="AJ108" t="s">
        <v>97</v>
      </c>
      <c r="AK108">
        <v>0</v>
      </c>
      <c r="AL108">
        <v>0</v>
      </c>
      <c r="AM108">
        <v>0</v>
      </c>
      <c r="AN108" t="s">
        <v>98</v>
      </c>
      <c r="AO108" t="s">
        <v>82</v>
      </c>
      <c r="AP108" t="s">
        <v>114</v>
      </c>
      <c r="AQ108" t="s">
        <v>72</v>
      </c>
      <c r="AR108" t="s">
        <v>72</v>
      </c>
      <c r="AS108" t="s">
        <v>72</v>
      </c>
      <c r="AT108" t="s">
        <v>176</v>
      </c>
      <c r="AU108" t="s">
        <v>72</v>
      </c>
      <c r="AV108" t="s">
        <v>217</v>
      </c>
      <c r="AW108" t="s">
        <v>72</v>
      </c>
      <c r="AX108" t="s">
        <v>358</v>
      </c>
      <c r="AY108">
        <v>37.537799800000002</v>
      </c>
      <c r="AZ108">
        <v>33</v>
      </c>
      <c r="BA108">
        <v>-0.64</v>
      </c>
      <c r="BB108">
        <v>358.10501099999999</v>
      </c>
      <c r="BC108">
        <v>-0.137576</v>
      </c>
      <c r="BD108">
        <v>0.17418400000000001</v>
      </c>
      <c r="BE108">
        <v>12.5</v>
      </c>
      <c r="BF108">
        <v>5.48773</v>
      </c>
      <c r="BG108">
        <v>0.49382700000000002</v>
      </c>
      <c r="BH108">
        <v>2.2434699999999999</v>
      </c>
      <c r="BI108">
        <v>0.90572399999999997</v>
      </c>
      <c r="BJ108">
        <v>88.3883972</v>
      </c>
      <c r="BK108">
        <v>4</v>
      </c>
      <c r="BL108">
        <v>2.2000101000000001</v>
      </c>
      <c r="BM108">
        <v>1358.4200439000001</v>
      </c>
      <c r="BN108">
        <v>5569.7998047000001</v>
      </c>
      <c r="BO108">
        <v>128.6600037</v>
      </c>
      <c r="BP108">
        <v>251</v>
      </c>
      <c r="BQ108">
        <v>5</v>
      </c>
      <c r="BR108">
        <v>7</v>
      </c>
    </row>
    <row r="109" spans="1:70" x14ac:dyDescent="0.25">
      <c r="A109">
        <v>107</v>
      </c>
      <c r="B109">
        <v>12622</v>
      </c>
      <c r="C109">
        <v>88.401204000000007</v>
      </c>
      <c r="D109">
        <v>26.9835929999999</v>
      </c>
      <c r="E109" t="s">
        <v>468</v>
      </c>
      <c r="F109">
        <v>1</v>
      </c>
      <c r="G109" t="s">
        <v>469</v>
      </c>
      <c r="H109" t="s">
        <v>72</v>
      </c>
      <c r="I109" t="s">
        <v>72</v>
      </c>
      <c r="J109" t="s">
        <v>189</v>
      </c>
      <c r="K109">
        <v>61</v>
      </c>
      <c r="L109">
        <v>37</v>
      </c>
      <c r="M109">
        <v>0</v>
      </c>
      <c r="N109">
        <v>2257</v>
      </c>
      <c r="O109" t="s">
        <v>89</v>
      </c>
      <c r="P109" t="s">
        <v>72</v>
      </c>
      <c r="Q109">
        <v>2257</v>
      </c>
      <c r="R109" t="s">
        <v>72</v>
      </c>
      <c r="S109" t="s">
        <v>73</v>
      </c>
      <c r="T109" t="s">
        <v>74</v>
      </c>
      <c r="U109" t="s">
        <v>190</v>
      </c>
      <c r="V109" t="s">
        <v>470</v>
      </c>
      <c r="W109" t="s">
        <v>92</v>
      </c>
      <c r="X109" t="s">
        <v>77</v>
      </c>
      <c r="Y109">
        <v>2014</v>
      </c>
      <c r="Z109" t="s">
        <v>72</v>
      </c>
      <c r="AA109" t="s">
        <v>72</v>
      </c>
      <c r="AB109" t="s">
        <v>72</v>
      </c>
      <c r="AC109" t="s">
        <v>72</v>
      </c>
      <c r="AD109" t="s">
        <v>72</v>
      </c>
      <c r="AE109">
        <v>0</v>
      </c>
      <c r="AF109" t="s">
        <v>148</v>
      </c>
      <c r="AG109" t="s">
        <v>94</v>
      </c>
      <c r="AH109" t="s">
        <v>95</v>
      </c>
      <c r="AI109" t="s">
        <v>96</v>
      </c>
      <c r="AJ109" t="s">
        <v>97</v>
      </c>
      <c r="AK109">
        <v>0</v>
      </c>
      <c r="AL109">
        <v>0</v>
      </c>
      <c r="AM109">
        <v>0</v>
      </c>
      <c r="AN109" t="s">
        <v>98</v>
      </c>
      <c r="AO109" t="s">
        <v>82</v>
      </c>
      <c r="AP109" t="s">
        <v>99</v>
      </c>
      <c r="AQ109" t="s">
        <v>72</v>
      </c>
      <c r="AR109" t="s">
        <v>72</v>
      </c>
      <c r="AS109" t="s">
        <v>72</v>
      </c>
      <c r="AT109" t="s">
        <v>72</v>
      </c>
      <c r="AU109" t="s">
        <v>72</v>
      </c>
      <c r="AV109" t="s">
        <v>222</v>
      </c>
      <c r="AW109" t="s">
        <v>72</v>
      </c>
      <c r="AX109" t="s">
        <v>223</v>
      </c>
      <c r="AY109">
        <v>44.445098899999998</v>
      </c>
      <c r="AZ109">
        <v>188</v>
      </c>
      <c r="BA109">
        <v>0</v>
      </c>
      <c r="BB109">
        <v>560.73901369999999</v>
      </c>
      <c r="BC109">
        <v>-0.16924400000000001</v>
      </c>
      <c r="BD109">
        <v>0.230855</v>
      </c>
      <c r="BE109">
        <v>408.69500729999999</v>
      </c>
      <c r="BF109">
        <v>4.3368602000000003</v>
      </c>
      <c r="BG109">
        <v>0.50895999999999997</v>
      </c>
      <c r="BH109">
        <v>1.5912900000000001</v>
      </c>
      <c r="BI109">
        <v>0.70311900000000005</v>
      </c>
      <c r="BJ109">
        <v>111.8030014</v>
      </c>
      <c r="BK109">
        <v>7</v>
      </c>
      <c r="BL109">
        <v>30.0870991</v>
      </c>
      <c r="BM109">
        <v>17.677700000000002</v>
      </c>
      <c r="BN109">
        <v>6747.4501952999999</v>
      </c>
      <c r="BO109">
        <v>16.587299300000002</v>
      </c>
      <c r="BP109">
        <v>373</v>
      </c>
      <c r="BQ109">
        <v>3</v>
      </c>
      <c r="BR109">
        <v>7</v>
      </c>
    </row>
    <row r="110" spans="1:70" x14ac:dyDescent="0.25">
      <c r="A110">
        <v>108</v>
      </c>
      <c r="B110">
        <v>801</v>
      </c>
      <c r="C110">
        <v>88.418582999999899</v>
      </c>
      <c r="D110">
        <v>26.989166999999899</v>
      </c>
      <c r="E110" t="s">
        <v>471</v>
      </c>
      <c r="F110">
        <v>0.5</v>
      </c>
      <c r="G110" t="s">
        <v>439</v>
      </c>
      <c r="H110" t="s">
        <v>472</v>
      </c>
      <c r="I110" t="s">
        <v>72</v>
      </c>
      <c r="J110" t="s">
        <v>72</v>
      </c>
      <c r="K110">
        <v>8</v>
      </c>
      <c r="L110">
        <v>7</v>
      </c>
      <c r="M110">
        <v>8</v>
      </c>
      <c r="N110">
        <v>0</v>
      </c>
      <c r="O110" t="s">
        <v>89</v>
      </c>
      <c r="P110" t="s">
        <v>441</v>
      </c>
      <c r="Q110">
        <v>0</v>
      </c>
      <c r="R110" t="s">
        <v>72</v>
      </c>
      <c r="S110" t="s">
        <v>73</v>
      </c>
      <c r="T110" t="s">
        <v>74</v>
      </c>
      <c r="U110" t="s">
        <v>190</v>
      </c>
      <c r="V110" t="s">
        <v>72</v>
      </c>
      <c r="W110" t="s">
        <v>76</v>
      </c>
      <c r="X110" t="s">
        <v>77</v>
      </c>
      <c r="Y110">
        <v>0</v>
      </c>
      <c r="Z110" t="s">
        <v>72</v>
      </c>
      <c r="AA110" t="s">
        <v>72</v>
      </c>
      <c r="AB110" t="s">
        <v>72</v>
      </c>
      <c r="AC110" t="s">
        <v>72</v>
      </c>
      <c r="AD110" t="s">
        <v>473</v>
      </c>
      <c r="AE110">
        <v>0</v>
      </c>
      <c r="AF110" t="s">
        <v>148</v>
      </c>
      <c r="AG110" t="s">
        <v>94</v>
      </c>
      <c r="AH110" t="s">
        <v>443</v>
      </c>
      <c r="AI110" t="s">
        <v>150</v>
      </c>
      <c r="AJ110" t="s">
        <v>72</v>
      </c>
      <c r="AK110">
        <v>0</v>
      </c>
      <c r="AL110">
        <v>0</v>
      </c>
      <c r="AM110">
        <v>0</v>
      </c>
      <c r="AN110" t="s">
        <v>271</v>
      </c>
      <c r="AO110" t="s">
        <v>82</v>
      </c>
      <c r="AP110" t="s">
        <v>272</v>
      </c>
      <c r="AQ110" t="s">
        <v>72</v>
      </c>
      <c r="AR110" t="s">
        <v>72</v>
      </c>
      <c r="AS110" t="s">
        <v>72</v>
      </c>
      <c r="AT110" t="s">
        <v>273</v>
      </c>
      <c r="AU110" t="s">
        <v>72</v>
      </c>
      <c r="AV110" t="s">
        <v>217</v>
      </c>
      <c r="AW110" t="s">
        <v>72</v>
      </c>
      <c r="AX110" t="s">
        <v>274</v>
      </c>
      <c r="AY110">
        <v>38.876701400000002</v>
      </c>
      <c r="AZ110">
        <v>31</v>
      </c>
      <c r="BA110">
        <v>1.28</v>
      </c>
      <c r="BB110">
        <v>469.25100709999998</v>
      </c>
      <c r="BC110">
        <v>-0.14061199999999999</v>
      </c>
      <c r="BD110">
        <v>0.14344899999999999</v>
      </c>
      <c r="BE110">
        <v>12.5</v>
      </c>
      <c r="BF110">
        <v>3.8397299999999999</v>
      </c>
      <c r="BG110">
        <v>0.530864</v>
      </c>
      <c r="BH110">
        <v>0.479495</v>
      </c>
      <c r="BI110">
        <v>0.94142999999999999</v>
      </c>
      <c r="BJ110">
        <v>166.77099609999999</v>
      </c>
      <c r="BK110">
        <v>4</v>
      </c>
      <c r="BL110">
        <v>1.0028699999999999</v>
      </c>
      <c r="BM110">
        <v>1462.5500488</v>
      </c>
      <c r="BN110">
        <v>4908.4301758000001</v>
      </c>
      <c r="BO110">
        <v>119.7450027</v>
      </c>
      <c r="BP110">
        <v>250</v>
      </c>
      <c r="BQ110">
        <v>6</v>
      </c>
      <c r="BR110">
        <v>7</v>
      </c>
    </row>
    <row r="111" spans="1:70" x14ac:dyDescent="0.25">
      <c r="A111">
        <v>109</v>
      </c>
      <c r="B111">
        <v>13163</v>
      </c>
      <c r="C111">
        <v>88.420361</v>
      </c>
      <c r="D111">
        <v>26.990694000000001</v>
      </c>
      <c r="E111" t="s">
        <v>474</v>
      </c>
      <c r="F111">
        <v>1</v>
      </c>
      <c r="G111" t="s">
        <v>225</v>
      </c>
      <c r="H111" t="s">
        <v>72</v>
      </c>
      <c r="I111" t="s">
        <v>72</v>
      </c>
      <c r="J111" t="s">
        <v>189</v>
      </c>
      <c r="K111">
        <v>50</v>
      </c>
      <c r="L111">
        <v>10</v>
      </c>
      <c r="M111">
        <v>40</v>
      </c>
      <c r="N111">
        <v>500</v>
      </c>
      <c r="O111" t="s">
        <v>89</v>
      </c>
      <c r="P111" t="s">
        <v>215</v>
      </c>
      <c r="Q111">
        <v>500</v>
      </c>
      <c r="R111" t="s">
        <v>72</v>
      </c>
      <c r="S111" t="s">
        <v>73</v>
      </c>
      <c r="T111" t="s">
        <v>74</v>
      </c>
      <c r="U111" t="s">
        <v>190</v>
      </c>
      <c r="V111" t="s">
        <v>475</v>
      </c>
      <c r="W111" t="s">
        <v>76</v>
      </c>
      <c r="X111" t="s">
        <v>77</v>
      </c>
      <c r="Y111">
        <v>2015</v>
      </c>
      <c r="Z111" t="s">
        <v>72</v>
      </c>
      <c r="AA111" t="s">
        <v>72</v>
      </c>
      <c r="AB111" t="s">
        <v>72</v>
      </c>
      <c r="AC111" t="s">
        <v>72</v>
      </c>
      <c r="AD111" t="s">
        <v>475</v>
      </c>
      <c r="AE111">
        <v>0</v>
      </c>
      <c r="AF111" t="s">
        <v>148</v>
      </c>
      <c r="AG111" t="s">
        <v>94</v>
      </c>
      <c r="AH111" t="s">
        <v>95</v>
      </c>
      <c r="AI111" t="s">
        <v>150</v>
      </c>
      <c r="AJ111" t="s">
        <v>97</v>
      </c>
      <c r="AK111">
        <v>0</v>
      </c>
      <c r="AL111">
        <v>0</v>
      </c>
      <c r="AM111">
        <v>0</v>
      </c>
      <c r="AN111" t="s">
        <v>192</v>
      </c>
      <c r="AO111" t="s">
        <v>82</v>
      </c>
      <c r="AP111" t="s">
        <v>99</v>
      </c>
      <c r="AQ111" t="s">
        <v>72</v>
      </c>
      <c r="AR111" t="s">
        <v>72</v>
      </c>
      <c r="AS111" t="s">
        <v>72</v>
      </c>
      <c r="AT111" t="s">
        <v>176</v>
      </c>
      <c r="AU111" t="s">
        <v>72</v>
      </c>
      <c r="AV111" t="s">
        <v>217</v>
      </c>
      <c r="AW111" t="s">
        <v>72</v>
      </c>
      <c r="AX111" t="s">
        <v>358</v>
      </c>
      <c r="AY111">
        <v>31.872199999999999</v>
      </c>
      <c r="AZ111">
        <v>62</v>
      </c>
      <c r="BA111">
        <v>0</v>
      </c>
      <c r="BB111">
        <v>459.1650085</v>
      </c>
      <c r="BC111">
        <v>-0.120668</v>
      </c>
      <c r="BD111">
        <v>0.14704100000000001</v>
      </c>
      <c r="BE111">
        <v>0</v>
      </c>
      <c r="BF111">
        <v>3.6246200000000002</v>
      </c>
      <c r="BG111">
        <v>0.54444400000000004</v>
      </c>
      <c r="BH111">
        <v>-0.40324100000000002</v>
      </c>
      <c r="BI111">
        <v>0.87796600000000002</v>
      </c>
      <c r="BJ111">
        <v>152.0690002</v>
      </c>
      <c r="BK111">
        <v>4</v>
      </c>
      <c r="BL111">
        <v>0</v>
      </c>
      <c r="BM111">
        <v>1700.4100341999999</v>
      </c>
      <c r="BN111">
        <v>4688.6201172000001</v>
      </c>
      <c r="BO111">
        <v>117.8010025</v>
      </c>
      <c r="BP111">
        <v>239</v>
      </c>
      <c r="BQ111">
        <v>6</v>
      </c>
      <c r="BR111">
        <v>7</v>
      </c>
    </row>
    <row r="112" spans="1:70" x14ac:dyDescent="0.25">
      <c r="A112">
        <v>110</v>
      </c>
      <c r="B112">
        <v>12712</v>
      </c>
      <c r="C112">
        <v>88.448605000000001</v>
      </c>
      <c r="D112">
        <v>26.899612999999899</v>
      </c>
      <c r="E112" t="s">
        <v>476</v>
      </c>
      <c r="F112">
        <v>1</v>
      </c>
      <c r="G112" t="s">
        <v>102</v>
      </c>
      <c r="H112" t="s">
        <v>72</v>
      </c>
      <c r="I112" t="s">
        <v>72</v>
      </c>
      <c r="J112" t="s">
        <v>189</v>
      </c>
      <c r="K112">
        <v>110</v>
      </c>
      <c r="L112">
        <v>70</v>
      </c>
      <c r="M112">
        <v>100</v>
      </c>
      <c r="N112">
        <v>7700</v>
      </c>
      <c r="O112" t="s">
        <v>89</v>
      </c>
      <c r="P112" t="s">
        <v>72</v>
      </c>
      <c r="Q112">
        <v>7700</v>
      </c>
      <c r="R112" t="s">
        <v>72</v>
      </c>
      <c r="S112" t="s">
        <v>73</v>
      </c>
      <c r="T112" t="s">
        <v>74</v>
      </c>
      <c r="U112" t="s">
        <v>190</v>
      </c>
      <c r="V112" t="s">
        <v>477</v>
      </c>
      <c r="W112" t="s">
        <v>208</v>
      </c>
      <c r="X112" t="s">
        <v>119</v>
      </c>
      <c r="Y112">
        <v>2004</v>
      </c>
      <c r="Z112" t="s">
        <v>72</v>
      </c>
      <c r="AA112" t="s">
        <v>72</v>
      </c>
      <c r="AB112" t="s">
        <v>72</v>
      </c>
      <c r="AC112" t="s">
        <v>72</v>
      </c>
      <c r="AD112" t="s">
        <v>72</v>
      </c>
      <c r="AE112">
        <v>0</v>
      </c>
      <c r="AF112" t="s">
        <v>79</v>
      </c>
      <c r="AG112" t="s">
        <v>94</v>
      </c>
      <c r="AH112" t="s">
        <v>95</v>
      </c>
      <c r="AI112" t="s">
        <v>80</v>
      </c>
      <c r="AJ112" t="s">
        <v>97</v>
      </c>
      <c r="AK112">
        <v>0</v>
      </c>
      <c r="AL112">
        <v>0</v>
      </c>
      <c r="AM112">
        <v>0</v>
      </c>
      <c r="AN112" t="s">
        <v>181</v>
      </c>
      <c r="AO112" t="s">
        <v>82</v>
      </c>
      <c r="AP112" t="s">
        <v>114</v>
      </c>
      <c r="AQ112" t="s">
        <v>72</v>
      </c>
      <c r="AR112" t="s">
        <v>72</v>
      </c>
      <c r="AS112" t="s">
        <v>72</v>
      </c>
      <c r="AT112" t="s">
        <v>176</v>
      </c>
      <c r="AU112" t="s">
        <v>72</v>
      </c>
      <c r="AV112" t="s">
        <v>72</v>
      </c>
      <c r="AW112" t="s">
        <v>72</v>
      </c>
      <c r="AX112" t="s">
        <v>197</v>
      </c>
      <c r="AY112">
        <v>42.911300699999998</v>
      </c>
      <c r="AZ112">
        <v>29</v>
      </c>
      <c r="BA112">
        <v>-1.92</v>
      </c>
      <c r="BB112">
        <v>472.79400629999998</v>
      </c>
      <c r="BC112">
        <v>-0.202844</v>
      </c>
      <c r="BD112">
        <v>0.23904400000000001</v>
      </c>
      <c r="BE112">
        <v>2191.4599609000002</v>
      </c>
      <c r="BF112">
        <v>4.5446099999999996</v>
      </c>
      <c r="BG112">
        <v>0.50396700000000005</v>
      </c>
      <c r="BH112">
        <v>1.7200299999999999</v>
      </c>
      <c r="BI112">
        <v>0.104008</v>
      </c>
      <c r="BJ112">
        <v>862.0469971</v>
      </c>
      <c r="BK112">
        <v>7</v>
      </c>
      <c r="BL112">
        <v>0</v>
      </c>
      <c r="BM112">
        <v>8360.0195311999996</v>
      </c>
      <c r="BN112">
        <v>2737.5</v>
      </c>
      <c r="BO112">
        <v>101.79299930000001</v>
      </c>
      <c r="BP112">
        <v>647</v>
      </c>
      <c r="BQ112">
        <v>4</v>
      </c>
      <c r="BR112">
        <v>3</v>
      </c>
    </row>
    <row r="113" spans="1:70" x14ac:dyDescent="0.25">
      <c r="A113">
        <v>111</v>
      </c>
      <c r="B113">
        <v>13035</v>
      </c>
      <c r="C113">
        <v>88.436869000000002</v>
      </c>
      <c r="D113">
        <v>26.901727999999899</v>
      </c>
      <c r="E113" t="s">
        <v>478</v>
      </c>
      <c r="F113">
        <v>1</v>
      </c>
      <c r="G113" t="s">
        <v>102</v>
      </c>
      <c r="H113" t="s">
        <v>72</v>
      </c>
      <c r="I113" t="s">
        <v>72</v>
      </c>
      <c r="J113" t="s">
        <v>189</v>
      </c>
      <c r="K113">
        <v>40</v>
      </c>
      <c r="L113">
        <v>30</v>
      </c>
      <c r="M113">
        <v>20</v>
      </c>
      <c r="N113">
        <v>1200</v>
      </c>
      <c r="O113" t="s">
        <v>89</v>
      </c>
      <c r="P113" t="s">
        <v>72</v>
      </c>
      <c r="Q113">
        <v>1200</v>
      </c>
      <c r="R113" t="s">
        <v>72</v>
      </c>
      <c r="S113" t="s">
        <v>73</v>
      </c>
      <c r="T113" t="s">
        <v>74</v>
      </c>
      <c r="U113" t="s">
        <v>190</v>
      </c>
      <c r="V113" t="s">
        <v>479</v>
      </c>
      <c r="W113" t="s">
        <v>208</v>
      </c>
      <c r="X113" t="s">
        <v>77</v>
      </c>
      <c r="Y113">
        <v>2014</v>
      </c>
      <c r="Z113" t="s">
        <v>72</v>
      </c>
      <c r="AA113" t="s">
        <v>72</v>
      </c>
      <c r="AB113" t="s">
        <v>72</v>
      </c>
      <c r="AC113" t="s">
        <v>72</v>
      </c>
      <c r="AD113" t="s">
        <v>72</v>
      </c>
      <c r="AE113">
        <v>0</v>
      </c>
      <c r="AF113" t="s">
        <v>79</v>
      </c>
      <c r="AG113" t="s">
        <v>94</v>
      </c>
      <c r="AH113" t="s">
        <v>95</v>
      </c>
      <c r="AI113" t="s">
        <v>96</v>
      </c>
      <c r="AJ113" t="s">
        <v>97</v>
      </c>
      <c r="AK113">
        <v>0</v>
      </c>
      <c r="AL113">
        <v>0</v>
      </c>
      <c r="AM113">
        <v>0</v>
      </c>
      <c r="AN113" t="s">
        <v>181</v>
      </c>
      <c r="AO113" t="s">
        <v>82</v>
      </c>
      <c r="AP113" t="s">
        <v>386</v>
      </c>
      <c r="AQ113" t="s">
        <v>72</v>
      </c>
      <c r="AR113" t="s">
        <v>72</v>
      </c>
      <c r="AS113" t="s">
        <v>72</v>
      </c>
      <c r="AT113" t="s">
        <v>72</v>
      </c>
      <c r="AU113" t="s">
        <v>72</v>
      </c>
      <c r="AV113" t="s">
        <v>217</v>
      </c>
      <c r="AW113" t="s">
        <v>72</v>
      </c>
      <c r="AX113" t="s">
        <v>103</v>
      </c>
      <c r="AY113">
        <v>47.440498400000003</v>
      </c>
      <c r="AZ113">
        <v>40</v>
      </c>
      <c r="BA113">
        <v>-2.5599999000000002</v>
      </c>
      <c r="BB113">
        <v>407.0409851</v>
      </c>
      <c r="BC113">
        <v>-0.10817499999999999</v>
      </c>
      <c r="BD113">
        <v>0.16942499999999999</v>
      </c>
      <c r="BE113">
        <v>2962.9199219000002</v>
      </c>
      <c r="BF113">
        <v>4.4604001000000002</v>
      </c>
      <c r="BG113">
        <v>0.487454</v>
      </c>
      <c r="BH113">
        <v>1.4678800000000001</v>
      </c>
      <c r="BI113">
        <v>0.35754900000000001</v>
      </c>
      <c r="BJ113">
        <v>726.72198490000005</v>
      </c>
      <c r="BK113">
        <v>4</v>
      </c>
      <c r="BL113">
        <v>0</v>
      </c>
      <c r="BM113">
        <v>8089.1298827999999</v>
      </c>
      <c r="BN113">
        <v>3058.0100097999998</v>
      </c>
      <c r="BO113">
        <v>187.38600159999999</v>
      </c>
      <c r="BP113">
        <v>528</v>
      </c>
      <c r="BQ113">
        <v>5</v>
      </c>
      <c r="BR113">
        <v>3</v>
      </c>
    </row>
    <row r="114" spans="1:70" x14ac:dyDescent="0.25">
      <c r="A114">
        <v>112</v>
      </c>
      <c r="B114">
        <v>13436</v>
      </c>
      <c r="C114">
        <v>88.443985999999896</v>
      </c>
      <c r="D114">
        <v>26.9105349999999</v>
      </c>
      <c r="E114" t="s">
        <v>480</v>
      </c>
      <c r="F114">
        <v>1</v>
      </c>
      <c r="G114" t="s">
        <v>248</v>
      </c>
      <c r="H114" t="s">
        <v>72</v>
      </c>
      <c r="I114" t="s">
        <v>72</v>
      </c>
      <c r="J114" t="s">
        <v>189</v>
      </c>
      <c r="K114">
        <v>170</v>
      </c>
      <c r="L114">
        <v>70</v>
      </c>
      <c r="M114">
        <v>85</v>
      </c>
      <c r="N114">
        <v>11900</v>
      </c>
      <c r="O114" t="s">
        <v>89</v>
      </c>
      <c r="P114" t="s">
        <v>72</v>
      </c>
      <c r="Q114">
        <v>11900</v>
      </c>
      <c r="R114" t="s">
        <v>72</v>
      </c>
      <c r="S114" t="s">
        <v>73</v>
      </c>
      <c r="T114" t="s">
        <v>74</v>
      </c>
      <c r="U114" t="s">
        <v>190</v>
      </c>
      <c r="V114" t="s">
        <v>481</v>
      </c>
      <c r="W114" t="s">
        <v>208</v>
      </c>
      <c r="X114" t="s">
        <v>119</v>
      </c>
      <c r="Y114">
        <v>2014</v>
      </c>
      <c r="Z114" t="s">
        <v>72</v>
      </c>
      <c r="AA114" t="s">
        <v>72</v>
      </c>
      <c r="AB114" t="s">
        <v>72</v>
      </c>
      <c r="AC114" t="s">
        <v>72</v>
      </c>
      <c r="AD114" t="s">
        <v>72</v>
      </c>
      <c r="AE114">
        <v>0</v>
      </c>
      <c r="AF114" t="s">
        <v>148</v>
      </c>
      <c r="AG114" t="s">
        <v>94</v>
      </c>
      <c r="AH114" t="s">
        <v>95</v>
      </c>
      <c r="AI114" t="s">
        <v>80</v>
      </c>
      <c r="AJ114" t="s">
        <v>97</v>
      </c>
      <c r="AK114">
        <v>0</v>
      </c>
      <c r="AL114">
        <v>0</v>
      </c>
      <c r="AM114">
        <v>0</v>
      </c>
      <c r="AN114" t="s">
        <v>98</v>
      </c>
      <c r="AO114" t="s">
        <v>82</v>
      </c>
      <c r="AP114" t="s">
        <v>386</v>
      </c>
      <c r="AQ114" t="s">
        <v>72</v>
      </c>
      <c r="AR114" t="s">
        <v>72</v>
      </c>
      <c r="AS114" t="s">
        <v>72</v>
      </c>
      <c r="AT114" t="s">
        <v>72</v>
      </c>
      <c r="AU114" t="s">
        <v>72</v>
      </c>
      <c r="AV114" t="s">
        <v>217</v>
      </c>
      <c r="AW114" t="s">
        <v>72</v>
      </c>
      <c r="AX114" t="s">
        <v>482</v>
      </c>
      <c r="AY114">
        <v>33.321700999999997</v>
      </c>
      <c r="AZ114">
        <v>56</v>
      </c>
      <c r="BA114">
        <v>1.28</v>
      </c>
      <c r="BB114">
        <v>302.81698610000001</v>
      </c>
      <c r="BC114">
        <v>-0.21485499999999999</v>
      </c>
      <c r="BD114">
        <v>0.26583000000000001</v>
      </c>
      <c r="BE114">
        <v>1783.4699707</v>
      </c>
      <c r="BF114">
        <v>2.9451599000000002</v>
      </c>
      <c r="BG114">
        <v>0.484848</v>
      </c>
      <c r="BH114">
        <v>-7.3256698</v>
      </c>
      <c r="BI114">
        <v>0.66001200000000004</v>
      </c>
      <c r="BJ114">
        <v>415.51901249999997</v>
      </c>
      <c r="BK114">
        <v>7</v>
      </c>
      <c r="BL114">
        <v>0</v>
      </c>
      <c r="BM114">
        <v>7119.3798827999999</v>
      </c>
      <c r="BN114">
        <v>3928.3601073999998</v>
      </c>
      <c r="BO114">
        <v>116.1750031</v>
      </c>
      <c r="BP114">
        <v>401</v>
      </c>
      <c r="BQ114">
        <v>7</v>
      </c>
      <c r="BR114">
        <v>3</v>
      </c>
    </row>
    <row r="115" spans="1:70" x14ac:dyDescent="0.25">
      <c r="A115">
        <v>113</v>
      </c>
      <c r="B115">
        <v>12807</v>
      </c>
      <c r="C115">
        <v>88.436431999999897</v>
      </c>
      <c r="D115">
        <v>26.911158</v>
      </c>
      <c r="E115" t="s">
        <v>483</v>
      </c>
      <c r="F115">
        <v>1</v>
      </c>
      <c r="G115" t="s">
        <v>102</v>
      </c>
      <c r="H115" t="s">
        <v>72</v>
      </c>
      <c r="I115" t="s">
        <v>72</v>
      </c>
      <c r="J115" t="s">
        <v>189</v>
      </c>
      <c r="K115">
        <v>270</v>
      </c>
      <c r="L115">
        <v>320</v>
      </c>
      <c r="M115">
        <v>130</v>
      </c>
      <c r="N115">
        <v>86400</v>
      </c>
      <c r="O115" t="s">
        <v>89</v>
      </c>
      <c r="P115" t="s">
        <v>72</v>
      </c>
      <c r="Q115">
        <v>86400</v>
      </c>
      <c r="R115" t="s">
        <v>72</v>
      </c>
      <c r="S115" t="s">
        <v>73</v>
      </c>
      <c r="T115" t="s">
        <v>74</v>
      </c>
      <c r="U115" t="s">
        <v>190</v>
      </c>
      <c r="V115" t="s">
        <v>481</v>
      </c>
      <c r="W115" t="s">
        <v>208</v>
      </c>
      <c r="X115" t="s">
        <v>119</v>
      </c>
      <c r="Y115">
        <v>1983</v>
      </c>
      <c r="Z115" t="s">
        <v>72</v>
      </c>
      <c r="AA115" t="s">
        <v>72</v>
      </c>
      <c r="AB115" t="s">
        <v>72</v>
      </c>
      <c r="AC115" t="s">
        <v>72</v>
      </c>
      <c r="AD115" t="s">
        <v>72</v>
      </c>
      <c r="AE115">
        <v>0</v>
      </c>
      <c r="AF115" t="s">
        <v>79</v>
      </c>
      <c r="AG115" t="s">
        <v>94</v>
      </c>
      <c r="AH115" t="s">
        <v>95</v>
      </c>
      <c r="AI115" t="s">
        <v>96</v>
      </c>
      <c r="AJ115" t="s">
        <v>97</v>
      </c>
      <c r="AK115">
        <v>0</v>
      </c>
      <c r="AL115">
        <v>0</v>
      </c>
      <c r="AM115">
        <v>0</v>
      </c>
      <c r="AN115" t="s">
        <v>181</v>
      </c>
      <c r="AO115" t="s">
        <v>82</v>
      </c>
      <c r="AP115" t="s">
        <v>114</v>
      </c>
      <c r="AQ115" t="s">
        <v>72</v>
      </c>
      <c r="AR115" t="s">
        <v>72</v>
      </c>
      <c r="AS115" t="s">
        <v>72</v>
      </c>
      <c r="AT115" t="s">
        <v>484</v>
      </c>
      <c r="AU115" t="s">
        <v>72</v>
      </c>
      <c r="AV115" t="s">
        <v>485</v>
      </c>
      <c r="AW115" t="s">
        <v>72</v>
      </c>
      <c r="AX115" t="s">
        <v>72</v>
      </c>
      <c r="AY115">
        <v>34.105899800000003</v>
      </c>
      <c r="AZ115">
        <v>60</v>
      </c>
      <c r="BA115">
        <v>0.64</v>
      </c>
      <c r="BB115">
        <v>361.04599000000002</v>
      </c>
      <c r="BC115">
        <v>-0.181616</v>
      </c>
      <c r="BD115">
        <v>0.23449400000000001</v>
      </c>
      <c r="BE115">
        <v>2111.0600586</v>
      </c>
      <c r="BF115">
        <v>6.4120201999999997</v>
      </c>
      <c r="BG115">
        <v>0.46560800000000002</v>
      </c>
      <c r="BH115">
        <v>3.0774499999999998</v>
      </c>
      <c r="BI115">
        <v>0.912269</v>
      </c>
      <c r="BJ115">
        <v>646.74700929999995</v>
      </c>
      <c r="BK115">
        <v>4</v>
      </c>
      <c r="BL115">
        <v>0</v>
      </c>
      <c r="BM115">
        <v>7041.1000977000003</v>
      </c>
      <c r="BN115">
        <v>4090.5800780999998</v>
      </c>
      <c r="BO115">
        <v>106.2939987</v>
      </c>
      <c r="BP115">
        <v>466</v>
      </c>
      <c r="BQ115">
        <v>5</v>
      </c>
      <c r="BR115">
        <v>3</v>
      </c>
    </row>
    <row r="116" spans="1:70" x14ac:dyDescent="0.25">
      <c r="A116">
        <v>114</v>
      </c>
      <c r="B116">
        <v>12885</v>
      </c>
      <c r="C116">
        <v>88.428785000000005</v>
      </c>
      <c r="D116">
        <v>26.914579</v>
      </c>
      <c r="E116" t="s">
        <v>486</v>
      </c>
      <c r="F116">
        <v>1</v>
      </c>
      <c r="G116" t="s">
        <v>102</v>
      </c>
      <c r="H116" t="s">
        <v>72</v>
      </c>
      <c r="I116" t="s">
        <v>72</v>
      </c>
      <c r="J116" t="s">
        <v>189</v>
      </c>
      <c r="K116">
        <v>140</v>
      </c>
      <c r="L116">
        <v>100</v>
      </c>
      <c r="M116">
        <v>170</v>
      </c>
      <c r="N116">
        <v>14000</v>
      </c>
      <c r="O116" t="s">
        <v>89</v>
      </c>
      <c r="P116" t="s">
        <v>72</v>
      </c>
      <c r="Q116">
        <v>14000</v>
      </c>
      <c r="R116" t="s">
        <v>72</v>
      </c>
      <c r="S116" t="s">
        <v>73</v>
      </c>
      <c r="T116" t="s">
        <v>74</v>
      </c>
      <c r="U116" t="s">
        <v>190</v>
      </c>
      <c r="V116" t="s">
        <v>487</v>
      </c>
      <c r="W116" t="s">
        <v>208</v>
      </c>
      <c r="X116" t="s">
        <v>77</v>
      </c>
      <c r="Y116">
        <v>2010</v>
      </c>
      <c r="Z116" t="s">
        <v>72</v>
      </c>
      <c r="AA116" t="s">
        <v>72</v>
      </c>
      <c r="AB116" t="s">
        <v>72</v>
      </c>
      <c r="AC116" t="s">
        <v>72</v>
      </c>
      <c r="AD116" t="s">
        <v>72</v>
      </c>
      <c r="AE116">
        <v>0</v>
      </c>
      <c r="AF116" t="s">
        <v>79</v>
      </c>
      <c r="AG116" t="s">
        <v>94</v>
      </c>
      <c r="AH116" t="s">
        <v>95</v>
      </c>
      <c r="AI116" t="s">
        <v>96</v>
      </c>
      <c r="AJ116" t="s">
        <v>97</v>
      </c>
      <c r="AK116">
        <v>0</v>
      </c>
      <c r="AL116">
        <v>0</v>
      </c>
      <c r="AM116">
        <v>0</v>
      </c>
      <c r="AN116" t="s">
        <v>98</v>
      </c>
      <c r="AO116" t="s">
        <v>82</v>
      </c>
      <c r="AP116" t="s">
        <v>386</v>
      </c>
      <c r="AQ116" t="s">
        <v>72</v>
      </c>
      <c r="AR116" t="s">
        <v>72</v>
      </c>
      <c r="AS116" t="s">
        <v>72</v>
      </c>
      <c r="AT116" t="s">
        <v>72</v>
      </c>
      <c r="AU116" t="s">
        <v>72</v>
      </c>
      <c r="AV116" t="s">
        <v>217</v>
      </c>
      <c r="AW116" t="s">
        <v>72</v>
      </c>
      <c r="AX116" t="s">
        <v>488</v>
      </c>
      <c r="AY116">
        <v>45.7151985</v>
      </c>
      <c r="AZ116">
        <v>8</v>
      </c>
      <c r="BA116">
        <v>0.64</v>
      </c>
      <c r="BB116">
        <v>395.78201289999998</v>
      </c>
      <c r="BC116">
        <v>-0.21045</v>
      </c>
      <c r="BD116">
        <v>0.26258100000000001</v>
      </c>
      <c r="BE116">
        <v>2459.0700683999999</v>
      </c>
      <c r="BF116">
        <v>3.1689501</v>
      </c>
      <c r="BG116">
        <v>0.50505</v>
      </c>
      <c r="BH116">
        <v>5.1873099999999998E-2</v>
      </c>
      <c r="BI116">
        <v>1.1242399999999999</v>
      </c>
      <c r="BJ116">
        <v>79.056899999999999</v>
      </c>
      <c r="BK116">
        <v>4</v>
      </c>
      <c r="BL116">
        <v>0</v>
      </c>
      <c r="BM116">
        <v>6735.2797852000003</v>
      </c>
      <c r="BN116">
        <v>4673.0097655999998</v>
      </c>
      <c r="BO116">
        <v>110.5559998</v>
      </c>
      <c r="BP116">
        <v>430</v>
      </c>
      <c r="BQ116">
        <v>5</v>
      </c>
      <c r="BR116">
        <v>7</v>
      </c>
    </row>
    <row r="117" spans="1:70" x14ac:dyDescent="0.25">
      <c r="A117">
        <v>115</v>
      </c>
      <c r="B117">
        <v>13486</v>
      </c>
      <c r="C117">
        <v>88.466110999999898</v>
      </c>
      <c r="D117">
        <v>26.913917000000001</v>
      </c>
      <c r="E117" t="s">
        <v>489</v>
      </c>
      <c r="F117">
        <v>1</v>
      </c>
      <c r="G117" t="s">
        <v>490</v>
      </c>
      <c r="H117" t="s">
        <v>72</v>
      </c>
      <c r="I117" t="s">
        <v>72</v>
      </c>
      <c r="J117" t="s">
        <v>189</v>
      </c>
      <c r="K117">
        <v>30</v>
      </c>
      <c r="L117">
        <v>2</v>
      </c>
      <c r="M117">
        <v>0</v>
      </c>
      <c r="N117">
        <v>60</v>
      </c>
      <c r="O117" t="s">
        <v>89</v>
      </c>
      <c r="P117" t="s">
        <v>491</v>
      </c>
      <c r="Q117">
        <v>60</v>
      </c>
      <c r="R117" t="s">
        <v>72</v>
      </c>
      <c r="S117" t="s">
        <v>73</v>
      </c>
      <c r="T117" t="s">
        <v>74</v>
      </c>
      <c r="U117" t="s">
        <v>190</v>
      </c>
      <c r="V117" t="s">
        <v>492</v>
      </c>
      <c r="W117" t="s">
        <v>159</v>
      </c>
      <c r="X117" t="s">
        <v>77</v>
      </c>
      <c r="Y117">
        <v>2007</v>
      </c>
      <c r="Z117" t="s">
        <v>72</v>
      </c>
      <c r="AA117" t="s">
        <v>72</v>
      </c>
      <c r="AB117" t="s">
        <v>72</v>
      </c>
      <c r="AC117" t="s">
        <v>72</v>
      </c>
      <c r="AD117" t="s">
        <v>93</v>
      </c>
      <c r="AE117">
        <v>0</v>
      </c>
      <c r="AF117" t="s">
        <v>148</v>
      </c>
      <c r="AG117" t="s">
        <v>128</v>
      </c>
      <c r="AH117" t="s">
        <v>95</v>
      </c>
      <c r="AI117" t="s">
        <v>96</v>
      </c>
      <c r="AJ117" t="s">
        <v>97</v>
      </c>
      <c r="AK117">
        <v>2010</v>
      </c>
      <c r="AL117">
        <v>0</v>
      </c>
      <c r="AM117">
        <v>0</v>
      </c>
      <c r="AN117" t="s">
        <v>98</v>
      </c>
      <c r="AO117" t="s">
        <v>82</v>
      </c>
      <c r="AP117" t="s">
        <v>99</v>
      </c>
      <c r="AQ117" t="s">
        <v>72</v>
      </c>
      <c r="AR117" t="s">
        <v>72</v>
      </c>
      <c r="AS117" t="s">
        <v>72</v>
      </c>
      <c r="AT117" t="s">
        <v>72</v>
      </c>
      <c r="AU117" t="s">
        <v>72</v>
      </c>
      <c r="AV117" t="s">
        <v>493</v>
      </c>
      <c r="AW117" t="s">
        <v>72</v>
      </c>
      <c r="AX117" t="s">
        <v>307</v>
      </c>
      <c r="AY117">
        <v>26.783599899999999</v>
      </c>
      <c r="AZ117">
        <v>176</v>
      </c>
      <c r="BA117">
        <v>-0.64</v>
      </c>
      <c r="BB117">
        <v>412.8259888</v>
      </c>
      <c r="BC117">
        <v>-0.12754499999999999</v>
      </c>
      <c r="BD117">
        <v>0.18889800000000001</v>
      </c>
      <c r="BE117">
        <v>12.5</v>
      </c>
      <c r="BF117">
        <v>5.9819598000000003</v>
      </c>
      <c r="BG117">
        <v>0.46296300000000001</v>
      </c>
      <c r="BH117">
        <v>2.0264598999999999</v>
      </c>
      <c r="BI117">
        <v>0.89358599999999999</v>
      </c>
      <c r="BJ117">
        <v>225</v>
      </c>
      <c r="BK117">
        <v>4</v>
      </c>
      <c r="BL117">
        <v>0</v>
      </c>
      <c r="BM117">
        <v>6788.9702147999997</v>
      </c>
      <c r="BN117">
        <v>4396.9101561999996</v>
      </c>
      <c r="BO117">
        <v>33.690101599999998</v>
      </c>
      <c r="BP117">
        <v>152</v>
      </c>
      <c r="BQ117">
        <v>4</v>
      </c>
      <c r="BR117">
        <v>3</v>
      </c>
    </row>
    <row r="118" spans="1:70" x14ac:dyDescent="0.25">
      <c r="A118">
        <v>116</v>
      </c>
      <c r="B118">
        <v>13016</v>
      </c>
      <c r="C118">
        <v>88.464499000000004</v>
      </c>
      <c r="D118">
        <v>26.914076000000001</v>
      </c>
      <c r="E118" t="s">
        <v>494</v>
      </c>
      <c r="F118">
        <v>1</v>
      </c>
      <c r="G118" t="s">
        <v>490</v>
      </c>
      <c r="H118" t="s">
        <v>72</v>
      </c>
      <c r="I118" t="s">
        <v>72</v>
      </c>
      <c r="J118" t="s">
        <v>189</v>
      </c>
      <c r="K118">
        <v>125</v>
      </c>
      <c r="L118">
        <v>22</v>
      </c>
      <c r="M118">
        <v>0</v>
      </c>
      <c r="N118">
        <v>2750</v>
      </c>
      <c r="O118" t="s">
        <v>89</v>
      </c>
      <c r="P118" t="s">
        <v>72</v>
      </c>
      <c r="Q118">
        <v>2750</v>
      </c>
      <c r="R118" t="s">
        <v>72</v>
      </c>
      <c r="S118" t="s">
        <v>73</v>
      </c>
      <c r="T118" t="s">
        <v>74</v>
      </c>
      <c r="U118" t="s">
        <v>190</v>
      </c>
      <c r="V118" t="s">
        <v>415</v>
      </c>
      <c r="W118" t="s">
        <v>92</v>
      </c>
      <c r="X118" t="s">
        <v>77</v>
      </c>
      <c r="Y118">
        <v>2014</v>
      </c>
      <c r="Z118" t="s">
        <v>72</v>
      </c>
      <c r="AA118" t="s">
        <v>72</v>
      </c>
      <c r="AB118" t="s">
        <v>72</v>
      </c>
      <c r="AC118" t="s">
        <v>72</v>
      </c>
      <c r="AD118" t="s">
        <v>72</v>
      </c>
      <c r="AE118">
        <v>0</v>
      </c>
      <c r="AF118" t="s">
        <v>148</v>
      </c>
      <c r="AG118" t="s">
        <v>94</v>
      </c>
      <c r="AH118" t="s">
        <v>95</v>
      </c>
      <c r="AI118" t="s">
        <v>96</v>
      </c>
      <c r="AJ118" t="s">
        <v>97</v>
      </c>
      <c r="AK118">
        <v>0</v>
      </c>
      <c r="AL118">
        <v>0</v>
      </c>
      <c r="AM118">
        <v>0</v>
      </c>
      <c r="AN118" t="s">
        <v>134</v>
      </c>
      <c r="AO118" t="s">
        <v>82</v>
      </c>
      <c r="AP118" t="s">
        <v>99</v>
      </c>
      <c r="AQ118" t="s">
        <v>72</v>
      </c>
      <c r="AR118" t="s">
        <v>72</v>
      </c>
      <c r="AS118" t="s">
        <v>72</v>
      </c>
      <c r="AT118" t="s">
        <v>72</v>
      </c>
      <c r="AU118" t="s">
        <v>72</v>
      </c>
      <c r="AV118" t="s">
        <v>217</v>
      </c>
      <c r="AW118" t="s">
        <v>72</v>
      </c>
      <c r="AX118" t="s">
        <v>363</v>
      </c>
      <c r="AY118">
        <v>37.659198799999999</v>
      </c>
      <c r="AZ118">
        <v>168</v>
      </c>
      <c r="BA118">
        <v>-1.92</v>
      </c>
      <c r="BB118">
        <v>435.20700069999998</v>
      </c>
      <c r="BC118">
        <v>-0.14826</v>
      </c>
      <c r="BD118">
        <v>0.212973</v>
      </c>
      <c r="BE118">
        <v>72.886901899999998</v>
      </c>
      <c r="BF118">
        <v>5.4925398999999997</v>
      </c>
      <c r="BG118">
        <v>0.482906</v>
      </c>
      <c r="BH118">
        <v>2.3816700000000002</v>
      </c>
      <c r="BI118">
        <v>0.92128900000000002</v>
      </c>
      <c r="BJ118">
        <v>257.39099119999997</v>
      </c>
      <c r="BK118">
        <v>4</v>
      </c>
      <c r="BL118">
        <v>0</v>
      </c>
      <c r="BM118">
        <v>6937.9501952999999</v>
      </c>
      <c r="BN118">
        <v>4401.7797852000003</v>
      </c>
      <c r="BO118">
        <v>31.218399000000002</v>
      </c>
      <c r="BP118">
        <v>207</v>
      </c>
      <c r="BQ118">
        <v>4</v>
      </c>
      <c r="BR118">
        <v>3</v>
      </c>
    </row>
    <row r="119" spans="1:70" x14ac:dyDescent="0.25">
      <c r="A119">
        <v>117</v>
      </c>
      <c r="B119">
        <v>12623</v>
      </c>
      <c r="C119">
        <v>88.425576000000007</v>
      </c>
      <c r="D119">
        <v>26.916694</v>
      </c>
      <c r="E119" t="s">
        <v>495</v>
      </c>
      <c r="F119">
        <v>1</v>
      </c>
      <c r="G119" t="s">
        <v>102</v>
      </c>
      <c r="H119" t="s">
        <v>72</v>
      </c>
      <c r="I119" t="s">
        <v>72</v>
      </c>
      <c r="J119" t="s">
        <v>189</v>
      </c>
      <c r="K119">
        <v>251</v>
      </c>
      <c r="L119">
        <v>80</v>
      </c>
      <c r="M119">
        <v>0</v>
      </c>
      <c r="N119">
        <v>20080</v>
      </c>
      <c r="O119" t="s">
        <v>89</v>
      </c>
      <c r="P119" t="s">
        <v>72</v>
      </c>
      <c r="Q119">
        <v>20080</v>
      </c>
      <c r="R119" t="s">
        <v>72</v>
      </c>
      <c r="S119" t="s">
        <v>73</v>
      </c>
      <c r="T119" t="s">
        <v>74</v>
      </c>
      <c r="U119" t="s">
        <v>190</v>
      </c>
      <c r="V119" t="s">
        <v>496</v>
      </c>
      <c r="W119" t="s">
        <v>92</v>
      </c>
      <c r="X119" t="s">
        <v>77</v>
      </c>
      <c r="Y119">
        <v>2014</v>
      </c>
      <c r="Z119" t="s">
        <v>72</v>
      </c>
      <c r="AA119" t="s">
        <v>72</v>
      </c>
      <c r="AB119" t="s">
        <v>72</v>
      </c>
      <c r="AC119" t="s">
        <v>72</v>
      </c>
      <c r="AD119" t="s">
        <v>72</v>
      </c>
      <c r="AE119">
        <v>0</v>
      </c>
      <c r="AF119" t="s">
        <v>79</v>
      </c>
      <c r="AG119" t="s">
        <v>94</v>
      </c>
      <c r="AH119" t="s">
        <v>95</v>
      </c>
      <c r="AI119" t="s">
        <v>96</v>
      </c>
      <c r="AJ119" t="s">
        <v>97</v>
      </c>
      <c r="AK119">
        <v>0</v>
      </c>
      <c r="AL119">
        <v>0</v>
      </c>
      <c r="AM119">
        <v>0</v>
      </c>
      <c r="AN119" t="s">
        <v>336</v>
      </c>
      <c r="AO119" t="s">
        <v>82</v>
      </c>
      <c r="AP119" t="s">
        <v>386</v>
      </c>
      <c r="AQ119" t="s">
        <v>72</v>
      </c>
      <c r="AR119" t="s">
        <v>72</v>
      </c>
      <c r="AS119" t="s">
        <v>72</v>
      </c>
      <c r="AT119" t="s">
        <v>72</v>
      </c>
      <c r="AU119" t="s">
        <v>72</v>
      </c>
      <c r="AV119" t="s">
        <v>217</v>
      </c>
      <c r="AW119" t="s">
        <v>72</v>
      </c>
      <c r="AX119" t="s">
        <v>452</v>
      </c>
      <c r="AY119">
        <v>40.062198600000002</v>
      </c>
      <c r="AZ119">
        <v>177</v>
      </c>
      <c r="BA119">
        <v>0</v>
      </c>
      <c r="BB119">
        <v>427.7999878</v>
      </c>
      <c r="BC119">
        <v>-0.18626699999999999</v>
      </c>
      <c r="BD119">
        <v>0.25115599999999999</v>
      </c>
      <c r="BE119">
        <v>2639.4199219000002</v>
      </c>
      <c r="BF119">
        <v>2.6989500999999998</v>
      </c>
      <c r="BG119">
        <v>0.5</v>
      </c>
      <c r="BH119">
        <v>-7.0797901000000003</v>
      </c>
      <c r="BI119">
        <v>1.09859</v>
      </c>
      <c r="BJ119">
        <v>112.5</v>
      </c>
      <c r="BK119">
        <v>6</v>
      </c>
      <c r="BL119">
        <v>0</v>
      </c>
      <c r="BM119">
        <v>6567.4501952999999</v>
      </c>
      <c r="BN119">
        <v>4999.5297852000003</v>
      </c>
      <c r="BO119">
        <v>25.346200899999999</v>
      </c>
      <c r="BP119">
        <v>480</v>
      </c>
      <c r="BQ119">
        <v>5</v>
      </c>
      <c r="BR119">
        <v>3</v>
      </c>
    </row>
    <row r="120" spans="1:70" x14ac:dyDescent="0.25">
      <c r="A120">
        <v>118</v>
      </c>
      <c r="B120">
        <v>12710</v>
      </c>
      <c r="C120">
        <v>88.452213999999898</v>
      </c>
      <c r="D120">
        <v>26.915537</v>
      </c>
      <c r="E120" t="s">
        <v>497</v>
      </c>
      <c r="F120">
        <v>1</v>
      </c>
      <c r="G120" t="s">
        <v>102</v>
      </c>
      <c r="H120" t="s">
        <v>72</v>
      </c>
      <c r="I120" t="s">
        <v>72</v>
      </c>
      <c r="J120" t="s">
        <v>189</v>
      </c>
      <c r="K120">
        <v>500</v>
      </c>
      <c r="L120">
        <v>100</v>
      </c>
      <c r="M120">
        <v>125</v>
      </c>
      <c r="N120">
        <v>50000</v>
      </c>
      <c r="O120" t="s">
        <v>89</v>
      </c>
      <c r="P120" t="s">
        <v>72</v>
      </c>
      <c r="Q120">
        <v>50000</v>
      </c>
      <c r="R120" t="s">
        <v>72</v>
      </c>
      <c r="S120" t="s">
        <v>73</v>
      </c>
      <c r="T120" t="s">
        <v>74</v>
      </c>
      <c r="U120" t="s">
        <v>190</v>
      </c>
      <c r="V120" t="s">
        <v>498</v>
      </c>
      <c r="W120" t="s">
        <v>208</v>
      </c>
      <c r="X120" t="s">
        <v>77</v>
      </c>
      <c r="Y120">
        <v>2004</v>
      </c>
      <c r="Z120" t="s">
        <v>72</v>
      </c>
      <c r="AA120" t="s">
        <v>72</v>
      </c>
      <c r="AB120" t="s">
        <v>72</v>
      </c>
      <c r="AC120" t="s">
        <v>72</v>
      </c>
      <c r="AD120" t="s">
        <v>72</v>
      </c>
      <c r="AE120">
        <v>0</v>
      </c>
      <c r="AF120" t="s">
        <v>79</v>
      </c>
      <c r="AG120" t="s">
        <v>94</v>
      </c>
      <c r="AH120" t="s">
        <v>95</v>
      </c>
      <c r="AI120" t="s">
        <v>210</v>
      </c>
      <c r="AJ120" t="s">
        <v>97</v>
      </c>
      <c r="AK120">
        <v>0</v>
      </c>
      <c r="AL120">
        <v>0</v>
      </c>
      <c r="AM120">
        <v>0</v>
      </c>
      <c r="AN120" t="s">
        <v>181</v>
      </c>
      <c r="AO120" t="s">
        <v>82</v>
      </c>
      <c r="AP120" t="s">
        <v>200</v>
      </c>
      <c r="AQ120" t="s">
        <v>72</v>
      </c>
      <c r="AR120" t="s">
        <v>72</v>
      </c>
      <c r="AS120" t="s">
        <v>72</v>
      </c>
      <c r="AT120" t="s">
        <v>176</v>
      </c>
      <c r="AU120" t="s">
        <v>72</v>
      </c>
      <c r="AV120" t="s">
        <v>72</v>
      </c>
      <c r="AW120" t="s">
        <v>72</v>
      </c>
      <c r="AX120" t="s">
        <v>197</v>
      </c>
      <c r="AY120">
        <v>27.491800300000001</v>
      </c>
      <c r="AZ120">
        <v>98</v>
      </c>
      <c r="BA120">
        <v>0.64</v>
      </c>
      <c r="BB120">
        <v>388.44900510000002</v>
      </c>
      <c r="BC120">
        <v>-0.22412299999999999</v>
      </c>
      <c r="BD120">
        <v>0.279497</v>
      </c>
      <c r="BE120">
        <v>922.71698000000004</v>
      </c>
      <c r="BF120">
        <v>6.1746502000000003</v>
      </c>
      <c r="BG120">
        <v>0.525926</v>
      </c>
      <c r="BH120">
        <v>2.2932199999999998</v>
      </c>
      <c r="BI120">
        <v>1.08083</v>
      </c>
      <c r="BJ120">
        <v>372.91101070000002</v>
      </c>
      <c r="BK120">
        <v>4</v>
      </c>
      <c r="BL120">
        <v>0</v>
      </c>
      <c r="BM120">
        <v>6672.9199219000002</v>
      </c>
      <c r="BN120">
        <v>4509.9902344000002</v>
      </c>
      <c r="BO120">
        <v>177.7969971</v>
      </c>
      <c r="BP120">
        <v>367</v>
      </c>
      <c r="BQ120">
        <v>4</v>
      </c>
      <c r="BR120">
        <v>5</v>
      </c>
    </row>
    <row r="121" spans="1:70" x14ac:dyDescent="0.25">
      <c r="A121">
        <v>119</v>
      </c>
      <c r="B121">
        <v>12687</v>
      </c>
      <c r="C121">
        <v>88.441365000000005</v>
      </c>
      <c r="D121">
        <v>26.918365000000001</v>
      </c>
      <c r="E121" t="s">
        <v>499</v>
      </c>
      <c r="F121">
        <v>1</v>
      </c>
      <c r="G121" t="s">
        <v>102</v>
      </c>
      <c r="H121" t="s">
        <v>72</v>
      </c>
      <c r="I121" t="s">
        <v>72</v>
      </c>
      <c r="J121" t="s">
        <v>189</v>
      </c>
      <c r="K121">
        <v>140</v>
      </c>
      <c r="L121">
        <v>70</v>
      </c>
      <c r="M121">
        <v>40</v>
      </c>
      <c r="N121">
        <v>9800</v>
      </c>
      <c r="O121" t="s">
        <v>89</v>
      </c>
      <c r="P121" t="s">
        <v>72</v>
      </c>
      <c r="Q121">
        <v>9800</v>
      </c>
      <c r="R121" t="s">
        <v>72</v>
      </c>
      <c r="S121" t="s">
        <v>73</v>
      </c>
      <c r="T121" t="s">
        <v>74</v>
      </c>
      <c r="U121" t="s">
        <v>190</v>
      </c>
      <c r="V121" t="s">
        <v>481</v>
      </c>
      <c r="W121" t="s">
        <v>208</v>
      </c>
      <c r="X121" t="s">
        <v>77</v>
      </c>
      <c r="Y121">
        <v>2004</v>
      </c>
      <c r="Z121" t="s">
        <v>72</v>
      </c>
      <c r="AA121" t="s">
        <v>72</v>
      </c>
      <c r="AB121" t="s">
        <v>72</v>
      </c>
      <c r="AC121" t="s">
        <v>72</v>
      </c>
      <c r="AD121" t="s">
        <v>481</v>
      </c>
      <c r="AE121">
        <v>0</v>
      </c>
      <c r="AF121" t="s">
        <v>79</v>
      </c>
      <c r="AG121" t="s">
        <v>94</v>
      </c>
      <c r="AH121" t="s">
        <v>95</v>
      </c>
      <c r="AI121" t="s">
        <v>150</v>
      </c>
      <c r="AJ121" t="s">
        <v>97</v>
      </c>
      <c r="AK121">
        <v>2014</v>
      </c>
      <c r="AL121">
        <v>0</v>
      </c>
      <c r="AM121">
        <v>0</v>
      </c>
      <c r="AN121" t="s">
        <v>98</v>
      </c>
      <c r="AO121" t="s">
        <v>82</v>
      </c>
      <c r="AP121" t="s">
        <v>386</v>
      </c>
      <c r="AQ121" t="s">
        <v>72</v>
      </c>
      <c r="AR121" t="s">
        <v>72</v>
      </c>
      <c r="AS121" t="s">
        <v>72</v>
      </c>
      <c r="AT121" t="s">
        <v>176</v>
      </c>
      <c r="AU121" t="s">
        <v>72</v>
      </c>
      <c r="AV121" t="s">
        <v>72</v>
      </c>
      <c r="AW121" t="s">
        <v>72</v>
      </c>
      <c r="AX121" t="s">
        <v>197</v>
      </c>
      <c r="AY121">
        <v>8.0494699000000001</v>
      </c>
      <c r="AZ121">
        <v>193</v>
      </c>
      <c r="BA121">
        <v>-1.92</v>
      </c>
      <c r="BB121">
        <v>341.62701420000002</v>
      </c>
      <c r="BC121">
        <v>-0.12657399999999999</v>
      </c>
      <c r="BD121">
        <v>0.17416999999999999</v>
      </c>
      <c r="BE121">
        <v>1194.0600586</v>
      </c>
      <c r="BF121">
        <v>9.3171902000000006</v>
      </c>
      <c r="BG121">
        <v>0.4</v>
      </c>
      <c r="BH121">
        <v>3.8343899000000001</v>
      </c>
      <c r="BI121">
        <v>1.03786</v>
      </c>
      <c r="BJ121">
        <v>12.5</v>
      </c>
      <c r="BK121">
        <v>7</v>
      </c>
      <c r="BL121">
        <v>0</v>
      </c>
      <c r="BM121">
        <v>6243.0200194999998</v>
      </c>
      <c r="BN121">
        <v>4806.3300780999998</v>
      </c>
      <c r="BO121">
        <v>8.1301003000000005</v>
      </c>
      <c r="BP121">
        <v>242</v>
      </c>
      <c r="BQ121">
        <v>5</v>
      </c>
      <c r="BR121">
        <v>3</v>
      </c>
    </row>
    <row r="122" spans="1:70" x14ac:dyDescent="0.25">
      <c r="A122">
        <v>120</v>
      </c>
      <c r="B122">
        <v>12711</v>
      </c>
      <c r="C122">
        <v>88.438350999999898</v>
      </c>
      <c r="D122">
        <v>26.920849</v>
      </c>
      <c r="E122" t="s">
        <v>500</v>
      </c>
      <c r="F122">
        <v>1</v>
      </c>
      <c r="G122" t="s">
        <v>102</v>
      </c>
      <c r="H122" t="s">
        <v>72</v>
      </c>
      <c r="I122" t="s">
        <v>72</v>
      </c>
      <c r="J122" t="s">
        <v>189</v>
      </c>
      <c r="K122">
        <v>140</v>
      </c>
      <c r="L122">
        <v>60</v>
      </c>
      <c r="M122">
        <v>70</v>
      </c>
      <c r="N122">
        <v>8400</v>
      </c>
      <c r="O122" t="s">
        <v>89</v>
      </c>
      <c r="P122" t="s">
        <v>72</v>
      </c>
      <c r="Q122">
        <v>8400</v>
      </c>
      <c r="R122" t="s">
        <v>72</v>
      </c>
      <c r="S122" t="s">
        <v>73</v>
      </c>
      <c r="T122" t="s">
        <v>74</v>
      </c>
      <c r="U122" t="s">
        <v>190</v>
      </c>
      <c r="V122" t="s">
        <v>481</v>
      </c>
      <c r="W122" t="s">
        <v>76</v>
      </c>
      <c r="X122" t="s">
        <v>77</v>
      </c>
      <c r="Y122">
        <v>2004</v>
      </c>
      <c r="Z122" t="s">
        <v>72</v>
      </c>
      <c r="AA122" t="s">
        <v>72</v>
      </c>
      <c r="AB122" t="s">
        <v>72</v>
      </c>
      <c r="AC122" t="s">
        <v>72</v>
      </c>
      <c r="AD122" t="s">
        <v>72</v>
      </c>
      <c r="AE122">
        <v>0</v>
      </c>
      <c r="AF122" t="s">
        <v>79</v>
      </c>
      <c r="AG122" t="s">
        <v>94</v>
      </c>
      <c r="AH122" t="s">
        <v>95</v>
      </c>
      <c r="AI122" t="s">
        <v>150</v>
      </c>
      <c r="AJ122" t="s">
        <v>97</v>
      </c>
      <c r="AK122">
        <v>0</v>
      </c>
      <c r="AL122">
        <v>0</v>
      </c>
      <c r="AM122">
        <v>0</v>
      </c>
      <c r="AN122" t="s">
        <v>336</v>
      </c>
      <c r="AO122" t="s">
        <v>82</v>
      </c>
      <c r="AP122" t="s">
        <v>114</v>
      </c>
      <c r="AQ122" t="s">
        <v>72</v>
      </c>
      <c r="AR122" t="s">
        <v>72</v>
      </c>
      <c r="AS122" t="s">
        <v>72</v>
      </c>
      <c r="AT122" t="s">
        <v>176</v>
      </c>
      <c r="AU122" t="s">
        <v>72</v>
      </c>
      <c r="AV122" t="s">
        <v>72</v>
      </c>
      <c r="AW122" t="s">
        <v>72</v>
      </c>
      <c r="AX122" t="s">
        <v>197</v>
      </c>
      <c r="AY122">
        <v>34.937000300000001</v>
      </c>
      <c r="AZ122">
        <v>93</v>
      </c>
      <c r="BA122">
        <v>-3.2</v>
      </c>
      <c r="BB122">
        <v>353.53298949999999</v>
      </c>
      <c r="BC122">
        <v>-0.16686500000000001</v>
      </c>
      <c r="BD122">
        <v>0.20788400000000001</v>
      </c>
      <c r="BE122">
        <v>1292.0999756000001</v>
      </c>
      <c r="BF122">
        <v>5.2823399999999996</v>
      </c>
      <c r="BG122">
        <v>0.44973600000000002</v>
      </c>
      <c r="BH122">
        <v>1.9454</v>
      </c>
      <c r="BI122">
        <v>0.96825600000000001</v>
      </c>
      <c r="BJ122">
        <v>75</v>
      </c>
      <c r="BK122">
        <v>4</v>
      </c>
      <c r="BL122">
        <v>0</v>
      </c>
      <c r="BM122">
        <v>5962.6201172000001</v>
      </c>
      <c r="BN122">
        <v>5114.1499022999997</v>
      </c>
      <c r="BO122">
        <v>76.759498600000001</v>
      </c>
      <c r="BP122">
        <v>264</v>
      </c>
      <c r="BQ122">
        <v>5</v>
      </c>
      <c r="BR122">
        <v>3</v>
      </c>
    </row>
    <row r="123" spans="1:70" x14ac:dyDescent="0.25">
      <c r="A123">
        <v>121</v>
      </c>
      <c r="B123">
        <v>12849</v>
      </c>
      <c r="C123">
        <v>88.465853999999894</v>
      </c>
      <c r="D123">
        <v>26.919463</v>
      </c>
      <c r="E123" t="s">
        <v>501</v>
      </c>
      <c r="F123">
        <v>1</v>
      </c>
      <c r="G123" t="s">
        <v>102</v>
      </c>
      <c r="H123" t="s">
        <v>72</v>
      </c>
      <c r="I123" t="s">
        <v>72</v>
      </c>
      <c r="J123" t="s">
        <v>189</v>
      </c>
      <c r="K123">
        <v>56</v>
      </c>
      <c r="L123">
        <v>50</v>
      </c>
      <c r="M123">
        <v>14</v>
      </c>
      <c r="N123">
        <v>2800</v>
      </c>
      <c r="O123" t="s">
        <v>89</v>
      </c>
      <c r="P123" t="s">
        <v>72</v>
      </c>
      <c r="Q123">
        <v>2800</v>
      </c>
      <c r="R123" t="s">
        <v>72</v>
      </c>
      <c r="S123" t="s">
        <v>73</v>
      </c>
      <c r="T123" t="s">
        <v>74</v>
      </c>
      <c r="U123" t="s">
        <v>190</v>
      </c>
      <c r="V123" t="s">
        <v>502</v>
      </c>
      <c r="W123" t="s">
        <v>208</v>
      </c>
      <c r="X123" t="s">
        <v>77</v>
      </c>
      <c r="Y123">
        <v>2010</v>
      </c>
      <c r="Z123" t="s">
        <v>72</v>
      </c>
      <c r="AA123" t="s">
        <v>72</v>
      </c>
      <c r="AB123" t="s">
        <v>72</v>
      </c>
      <c r="AC123" t="s">
        <v>72</v>
      </c>
      <c r="AD123" t="s">
        <v>72</v>
      </c>
      <c r="AE123">
        <v>0</v>
      </c>
      <c r="AF123" t="s">
        <v>79</v>
      </c>
      <c r="AG123" t="s">
        <v>94</v>
      </c>
      <c r="AH123" t="s">
        <v>95</v>
      </c>
      <c r="AI123" t="s">
        <v>96</v>
      </c>
      <c r="AJ123" t="s">
        <v>97</v>
      </c>
      <c r="AK123">
        <v>0</v>
      </c>
      <c r="AL123">
        <v>0</v>
      </c>
      <c r="AM123">
        <v>0</v>
      </c>
      <c r="AN123" t="s">
        <v>192</v>
      </c>
      <c r="AO123" t="s">
        <v>82</v>
      </c>
      <c r="AP123" t="s">
        <v>99</v>
      </c>
      <c r="AQ123" t="s">
        <v>72</v>
      </c>
      <c r="AR123" t="s">
        <v>72</v>
      </c>
      <c r="AS123" t="s">
        <v>72</v>
      </c>
      <c r="AT123" t="s">
        <v>72</v>
      </c>
      <c r="AU123" t="s">
        <v>72</v>
      </c>
      <c r="AV123" t="s">
        <v>503</v>
      </c>
      <c r="AW123" t="s">
        <v>72</v>
      </c>
      <c r="AX123" t="s">
        <v>223</v>
      </c>
      <c r="AY123">
        <v>24.5163002</v>
      </c>
      <c r="AZ123">
        <v>173</v>
      </c>
      <c r="BA123">
        <v>-1.28</v>
      </c>
      <c r="BB123">
        <v>353.4159851</v>
      </c>
      <c r="BC123">
        <v>-0.19468099999999999</v>
      </c>
      <c r="BD123">
        <v>0.25541900000000001</v>
      </c>
      <c r="BE123">
        <v>350.89199830000001</v>
      </c>
      <c r="BF123">
        <v>7.22227</v>
      </c>
      <c r="BG123">
        <v>0.52777799999999997</v>
      </c>
      <c r="BH123">
        <v>3.0687399000000002</v>
      </c>
      <c r="BI123">
        <v>0.98374700000000004</v>
      </c>
      <c r="BJ123">
        <v>282.84298710000002</v>
      </c>
      <c r="BK123">
        <v>6</v>
      </c>
      <c r="BL123">
        <v>0</v>
      </c>
      <c r="BM123">
        <v>6642.9101561999996</v>
      </c>
      <c r="BN123">
        <v>5006.25</v>
      </c>
      <c r="BO123">
        <v>232.125</v>
      </c>
      <c r="BP123">
        <v>156</v>
      </c>
      <c r="BQ123">
        <v>4</v>
      </c>
      <c r="BR123">
        <v>3</v>
      </c>
    </row>
    <row r="124" spans="1:70" x14ac:dyDescent="0.25">
      <c r="A124">
        <v>122</v>
      </c>
      <c r="B124">
        <v>13036</v>
      </c>
      <c r="C124">
        <v>88.409096000000005</v>
      </c>
      <c r="D124">
        <v>26.9247739999999</v>
      </c>
      <c r="E124" t="s">
        <v>504</v>
      </c>
      <c r="F124">
        <v>1</v>
      </c>
      <c r="G124" t="s">
        <v>102</v>
      </c>
      <c r="H124" t="s">
        <v>72</v>
      </c>
      <c r="I124" t="s">
        <v>72</v>
      </c>
      <c r="J124" t="s">
        <v>189</v>
      </c>
      <c r="K124">
        <v>285</v>
      </c>
      <c r="L124">
        <v>190</v>
      </c>
      <c r="M124">
        <v>0</v>
      </c>
      <c r="N124">
        <v>54150</v>
      </c>
      <c r="O124" t="s">
        <v>89</v>
      </c>
      <c r="P124" t="s">
        <v>72</v>
      </c>
      <c r="Q124">
        <v>54150</v>
      </c>
      <c r="R124" t="s">
        <v>72</v>
      </c>
      <c r="S124" t="s">
        <v>73</v>
      </c>
      <c r="T124" t="s">
        <v>74</v>
      </c>
      <c r="U124" t="s">
        <v>190</v>
      </c>
      <c r="V124" t="s">
        <v>505</v>
      </c>
      <c r="W124" t="s">
        <v>92</v>
      </c>
      <c r="X124" t="s">
        <v>77</v>
      </c>
      <c r="Y124">
        <v>2014</v>
      </c>
      <c r="Z124" t="s">
        <v>72</v>
      </c>
      <c r="AA124" t="s">
        <v>72</v>
      </c>
      <c r="AB124" t="s">
        <v>72</v>
      </c>
      <c r="AC124" t="s">
        <v>72</v>
      </c>
      <c r="AD124" t="s">
        <v>72</v>
      </c>
      <c r="AE124">
        <v>0</v>
      </c>
      <c r="AF124" t="s">
        <v>79</v>
      </c>
      <c r="AG124" t="s">
        <v>94</v>
      </c>
      <c r="AH124" t="s">
        <v>95</v>
      </c>
      <c r="AI124" t="s">
        <v>96</v>
      </c>
      <c r="AJ124" t="s">
        <v>97</v>
      </c>
      <c r="AK124">
        <v>0</v>
      </c>
      <c r="AL124">
        <v>0</v>
      </c>
      <c r="AM124">
        <v>0</v>
      </c>
      <c r="AN124" t="s">
        <v>181</v>
      </c>
      <c r="AO124" t="s">
        <v>82</v>
      </c>
      <c r="AP124" t="s">
        <v>114</v>
      </c>
      <c r="AQ124" t="s">
        <v>72</v>
      </c>
      <c r="AR124" t="s">
        <v>72</v>
      </c>
      <c r="AS124" t="s">
        <v>72</v>
      </c>
      <c r="AT124" t="s">
        <v>72</v>
      </c>
      <c r="AU124" t="s">
        <v>72</v>
      </c>
      <c r="AV124" t="s">
        <v>222</v>
      </c>
      <c r="AW124" t="s">
        <v>72</v>
      </c>
      <c r="AX124" t="s">
        <v>223</v>
      </c>
      <c r="AY124">
        <v>36.254398299999998</v>
      </c>
      <c r="AZ124">
        <v>63</v>
      </c>
      <c r="BA124">
        <v>1.28</v>
      </c>
      <c r="BB124">
        <v>498.97799680000003</v>
      </c>
      <c r="BC124">
        <v>-0.249861</v>
      </c>
      <c r="BD124">
        <v>0.31421900000000003</v>
      </c>
      <c r="BE124">
        <v>3524.5800780999998</v>
      </c>
      <c r="BF124">
        <v>5.1384501</v>
      </c>
      <c r="BG124">
        <v>0.472223</v>
      </c>
      <c r="BH124">
        <v>1.8885601000000001</v>
      </c>
      <c r="BI124">
        <v>0.37312899999999999</v>
      </c>
      <c r="BJ124">
        <v>415.51901249999997</v>
      </c>
      <c r="BK124">
        <v>6</v>
      </c>
      <c r="BL124">
        <v>0</v>
      </c>
      <c r="BM124">
        <v>6269.6801758000001</v>
      </c>
      <c r="BN124">
        <v>5888.6801758000001</v>
      </c>
      <c r="BO124">
        <v>174.52299500000001</v>
      </c>
      <c r="BP124">
        <v>898</v>
      </c>
      <c r="BQ124">
        <v>5</v>
      </c>
      <c r="BR124">
        <v>7</v>
      </c>
    </row>
    <row r="125" spans="1:70" x14ac:dyDescent="0.25">
      <c r="A125">
        <v>123</v>
      </c>
      <c r="B125">
        <v>12851</v>
      </c>
      <c r="C125">
        <v>88.463386</v>
      </c>
      <c r="D125">
        <v>26.9227799999999</v>
      </c>
      <c r="E125" t="s">
        <v>506</v>
      </c>
      <c r="F125">
        <v>1</v>
      </c>
      <c r="G125" t="s">
        <v>102</v>
      </c>
      <c r="H125" t="s">
        <v>72</v>
      </c>
      <c r="I125" t="s">
        <v>72</v>
      </c>
      <c r="J125" t="s">
        <v>189</v>
      </c>
      <c r="K125">
        <v>182</v>
      </c>
      <c r="L125">
        <v>51</v>
      </c>
      <c r="M125">
        <v>80</v>
      </c>
      <c r="N125">
        <v>9282</v>
      </c>
      <c r="O125" t="s">
        <v>89</v>
      </c>
      <c r="P125" t="s">
        <v>507</v>
      </c>
      <c r="Q125">
        <v>9282</v>
      </c>
      <c r="R125" t="s">
        <v>72</v>
      </c>
      <c r="S125" t="s">
        <v>73</v>
      </c>
      <c r="T125" t="s">
        <v>74</v>
      </c>
      <c r="U125" t="s">
        <v>190</v>
      </c>
      <c r="V125" t="s">
        <v>508</v>
      </c>
      <c r="W125" t="s">
        <v>208</v>
      </c>
      <c r="X125" t="s">
        <v>77</v>
      </c>
      <c r="Y125">
        <v>2010</v>
      </c>
      <c r="Z125" t="s">
        <v>72</v>
      </c>
      <c r="AA125" t="s">
        <v>72</v>
      </c>
      <c r="AB125" t="s">
        <v>72</v>
      </c>
      <c r="AC125" t="s">
        <v>72</v>
      </c>
      <c r="AD125" t="s">
        <v>72</v>
      </c>
      <c r="AE125">
        <v>0</v>
      </c>
      <c r="AF125" t="s">
        <v>79</v>
      </c>
      <c r="AG125" t="s">
        <v>94</v>
      </c>
      <c r="AH125" t="s">
        <v>95</v>
      </c>
      <c r="AI125" t="s">
        <v>210</v>
      </c>
      <c r="AJ125" t="s">
        <v>97</v>
      </c>
      <c r="AK125">
        <v>0</v>
      </c>
      <c r="AL125">
        <v>0</v>
      </c>
      <c r="AM125">
        <v>0</v>
      </c>
      <c r="AN125" t="s">
        <v>192</v>
      </c>
      <c r="AO125" t="s">
        <v>82</v>
      </c>
      <c r="AP125" t="s">
        <v>99</v>
      </c>
      <c r="AQ125" t="s">
        <v>72</v>
      </c>
      <c r="AR125" t="s">
        <v>72</v>
      </c>
      <c r="AS125" t="s">
        <v>72</v>
      </c>
      <c r="AT125" t="s">
        <v>72</v>
      </c>
      <c r="AU125" t="s">
        <v>72</v>
      </c>
      <c r="AV125" t="s">
        <v>509</v>
      </c>
      <c r="AW125" t="s">
        <v>72</v>
      </c>
      <c r="AX125" t="s">
        <v>307</v>
      </c>
      <c r="AY125">
        <v>20.3656006</v>
      </c>
      <c r="AZ125">
        <v>149</v>
      </c>
      <c r="BA125">
        <v>1.28</v>
      </c>
      <c r="BB125">
        <v>293.98199460000001</v>
      </c>
      <c r="BC125">
        <v>-0.157057</v>
      </c>
      <c r="BD125">
        <v>0.20130100000000001</v>
      </c>
      <c r="BE125">
        <v>322.5870056</v>
      </c>
      <c r="BF125">
        <v>5.5996699000000003</v>
      </c>
      <c r="BG125">
        <v>0.495726</v>
      </c>
      <c r="BH125">
        <v>1.42814</v>
      </c>
      <c r="BI125">
        <v>0.98284700000000003</v>
      </c>
      <c r="BJ125">
        <v>309.48498540000003</v>
      </c>
      <c r="BK125">
        <v>4</v>
      </c>
      <c r="BL125">
        <v>0</v>
      </c>
      <c r="BM125">
        <v>6222.2998047000001</v>
      </c>
      <c r="BN125">
        <v>5361.4399414</v>
      </c>
      <c r="BO125">
        <v>207.25500489999999</v>
      </c>
      <c r="BP125">
        <v>185</v>
      </c>
      <c r="BQ125">
        <v>4</v>
      </c>
      <c r="BR125">
        <v>3</v>
      </c>
    </row>
    <row r="126" spans="1:70" x14ac:dyDescent="0.25">
      <c r="A126">
        <v>124</v>
      </c>
      <c r="B126">
        <v>12806</v>
      </c>
      <c r="C126">
        <v>88.424999999999898</v>
      </c>
      <c r="D126">
        <v>26.925000000000001</v>
      </c>
      <c r="E126" t="s">
        <v>510</v>
      </c>
      <c r="F126">
        <v>10</v>
      </c>
      <c r="G126" t="s">
        <v>112</v>
      </c>
      <c r="H126" t="s">
        <v>72</v>
      </c>
      <c r="I126" t="s">
        <v>72</v>
      </c>
      <c r="J126" t="s">
        <v>189</v>
      </c>
      <c r="K126">
        <v>450</v>
      </c>
      <c r="L126">
        <v>70</v>
      </c>
      <c r="M126">
        <v>350</v>
      </c>
      <c r="N126">
        <v>31500</v>
      </c>
      <c r="O126" t="s">
        <v>89</v>
      </c>
      <c r="P126" t="s">
        <v>72</v>
      </c>
      <c r="Q126">
        <v>315000</v>
      </c>
      <c r="R126" t="s">
        <v>72</v>
      </c>
      <c r="S126" t="s">
        <v>73</v>
      </c>
      <c r="T126" t="s">
        <v>74</v>
      </c>
      <c r="U126" t="s">
        <v>190</v>
      </c>
      <c r="V126" t="s">
        <v>511</v>
      </c>
      <c r="W126" t="s">
        <v>92</v>
      </c>
      <c r="X126" t="s">
        <v>77</v>
      </c>
      <c r="Y126">
        <v>1981</v>
      </c>
      <c r="Z126" t="s">
        <v>72</v>
      </c>
      <c r="AA126" t="s">
        <v>72</v>
      </c>
      <c r="AB126" t="s">
        <v>72</v>
      </c>
      <c r="AC126" t="s">
        <v>72</v>
      </c>
      <c r="AD126" t="s">
        <v>511</v>
      </c>
      <c r="AE126">
        <v>0</v>
      </c>
      <c r="AF126" t="s">
        <v>148</v>
      </c>
      <c r="AG126" t="s">
        <v>94</v>
      </c>
      <c r="AH126" t="s">
        <v>95</v>
      </c>
      <c r="AI126" t="s">
        <v>150</v>
      </c>
      <c r="AJ126" t="s">
        <v>97</v>
      </c>
      <c r="AK126">
        <v>0</v>
      </c>
      <c r="AL126">
        <v>0</v>
      </c>
      <c r="AM126">
        <v>0</v>
      </c>
      <c r="AN126" t="s">
        <v>98</v>
      </c>
      <c r="AO126" t="s">
        <v>193</v>
      </c>
      <c r="AP126" t="s">
        <v>114</v>
      </c>
      <c r="AQ126" t="s">
        <v>72</v>
      </c>
      <c r="AR126" t="s">
        <v>72</v>
      </c>
      <c r="AS126" t="s">
        <v>72</v>
      </c>
      <c r="AT126" t="s">
        <v>512</v>
      </c>
      <c r="AU126" t="s">
        <v>72</v>
      </c>
      <c r="AV126" t="s">
        <v>72</v>
      </c>
      <c r="AW126" t="s">
        <v>72</v>
      </c>
      <c r="AX126" t="s">
        <v>513</v>
      </c>
      <c r="AY126">
        <v>36.695400200000002</v>
      </c>
      <c r="AZ126">
        <v>85</v>
      </c>
      <c r="BA126">
        <v>-0.64</v>
      </c>
      <c r="BB126">
        <v>459.28298949999999</v>
      </c>
      <c r="BC126">
        <v>-0.187892</v>
      </c>
      <c r="BD126">
        <v>0.24254400000000001</v>
      </c>
      <c r="BE126">
        <v>2154.3898926000002</v>
      </c>
      <c r="BF126">
        <v>4.6745701000000004</v>
      </c>
      <c r="BG126">
        <v>0.55555600000000005</v>
      </c>
      <c r="BH126">
        <v>0.84885299999999997</v>
      </c>
      <c r="BI126">
        <v>0.98494000000000004</v>
      </c>
      <c r="BJ126">
        <v>392.50799560000002</v>
      </c>
      <c r="BK126">
        <v>6</v>
      </c>
      <c r="BL126">
        <v>0</v>
      </c>
      <c r="BM126">
        <v>5681.3999022999997</v>
      </c>
      <c r="BN126">
        <v>5885.7099608999997</v>
      </c>
      <c r="BO126">
        <v>78.388496399999994</v>
      </c>
      <c r="BP126">
        <v>705</v>
      </c>
      <c r="BQ126">
        <v>5</v>
      </c>
      <c r="BR126">
        <v>3</v>
      </c>
    </row>
    <row r="127" spans="1:70" x14ac:dyDescent="0.25">
      <c r="A127">
        <v>125</v>
      </c>
      <c r="B127">
        <v>13137</v>
      </c>
      <c r="C127">
        <v>88.454624999999893</v>
      </c>
      <c r="D127">
        <v>26.92407</v>
      </c>
      <c r="E127" t="s">
        <v>514</v>
      </c>
      <c r="F127">
        <v>1</v>
      </c>
      <c r="G127" t="s">
        <v>102</v>
      </c>
      <c r="H127" t="s">
        <v>72</v>
      </c>
      <c r="I127" t="s">
        <v>72</v>
      </c>
      <c r="J127" t="s">
        <v>189</v>
      </c>
      <c r="K127">
        <v>40</v>
      </c>
      <c r="L127">
        <v>50</v>
      </c>
      <c r="M127">
        <v>35</v>
      </c>
      <c r="N127">
        <v>2000</v>
      </c>
      <c r="O127" t="s">
        <v>89</v>
      </c>
      <c r="P127" t="s">
        <v>72</v>
      </c>
      <c r="Q127">
        <v>2000</v>
      </c>
      <c r="R127" t="s">
        <v>72</v>
      </c>
      <c r="S127" t="s">
        <v>73</v>
      </c>
      <c r="T127" t="s">
        <v>74</v>
      </c>
      <c r="U127" t="s">
        <v>190</v>
      </c>
      <c r="V127" t="s">
        <v>515</v>
      </c>
      <c r="W127" t="s">
        <v>92</v>
      </c>
      <c r="X127" t="s">
        <v>77</v>
      </c>
      <c r="Y127">
        <v>2015</v>
      </c>
      <c r="Z127" t="s">
        <v>72</v>
      </c>
      <c r="AA127" t="s">
        <v>72</v>
      </c>
      <c r="AB127" t="s">
        <v>72</v>
      </c>
      <c r="AC127" t="s">
        <v>72</v>
      </c>
      <c r="AD127" t="s">
        <v>515</v>
      </c>
      <c r="AE127">
        <v>0</v>
      </c>
      <c r="AF127" t="s">
        <v>79</v>
      </c>
      <c r="AG127" t="s">
        <v>94</v>
      </c>
      <c r="AH127" t="s">
        <v>95</v>
      </c>
      <c r="AI127" t="s">
        <v>150</v>
      </c>
      <c r="AJ127" t="s">
        <v>97</v>
      </c>
      <c r="AK127">
        <v>0</v>
      </c>
      <c r="AL127">
        <v>0</v>
      </c>
      <c r="AM127">
        <v>0</v>
      </c>
      <c r="AN127" t="s">
        <v>98</v>
      </c>
      <c r="AO127" t="s">
        <v>82</v>
      </c>
      <c r="AP127" t="s">
        <v>99</v>
      </c>
      <c r="AQ127" t="s">
        <v>72</v>
      </c>
      <c r="AR127" t="s">
        <v>72</v>
      </c>
      <c r="AS127" t="s">
        <v>72</v>
      </c>
      <c r="AT127" t="s">
        <v>176</v>
      </c>
      <c r="AU127" t="s">
        <v>72</v>
      </c>
      <c r="AV127" t="s">
        <v>217</v>
      </c>
      <c r="AW127" t="s">
        <v>72</v>
      </c>
      <c r="AX127" t="s">
        <v>103</v>
      </c>
      <c r="AY127">
        <v>29.6490002</v>
      </c>
      <c r="AZ127">
        <v>196</v>
      </c>
      <c r="BA127">
        <v>0.64</v>
      </c>
      <c r="BB127">
        <v>382.31600950000001</v>
      </c>
      <c r="BC127">
        <v>-0.15023800000000001</v>
      </c>
      <c r="BD127">
        <v>0.21838399999999999</v>
      </c>
      <c r="BE127">
        <v>37.5</v>
      </c>
      <c r="BF127">
        <v>5.7282900999999997</v>
      </c>
      <c r="BG127">
        <v>0.49673200000000001</v>
      </c>
      <c r="BH127">
        <v>2.0032798999999999</v>
      </c>
      <c r="BI127">
        <v>1.21407</v>
      </c>
      <c r="BJ127">
        <v>87.5</v>
      </c>
      <c r="BK127">
        <v>4</v>
      </c>
      <c r="BL127">
        <v>0</v>
      </c>
      <c r="BM127">
        <v>5805.2402344000002</v>
      </c>
      <c r="BN127">
        <v>5465.7202147999997</v>
      </c>
      <c r="BO127">
        <v>18.434900299999999</v>
      </c>
      <c r="BP127">
        <v>170</v>
      </c>
      <c r="BQ127">
        <v>7</v>
      </c>
      <c r="BR127">
        <v>3</v>
      </c>
    </row>
    <row r="128" spans="1:70" x14ac:dyDescent="0.25">
      <c r="A128">
        <v>126</v>
      </c>
      <c r="B128">
        <v>13037</v>
      </c>
      <c r="C128">
        <v>88.425028999999896</v>
      </c>
      <c r="D128">
        <v>26.925757000000001</v>
      </c>
      <c r="E128" t="s">
        <v>516</v>
      </c>
      <c r="F128">
        <v>1</v>
      </c>
      <c r="G128" t="s">
        <v>102</v>
      </c>
      <c r="H128" t="s">
        <v>72</v>
      </c>
      <c r="I128" t="s">
        <v>72</v>
      </c>
      <c r="J128" t="s">
        <v>189</v>
      </c>
      <c r="K128">
        <v>94</v>
      </c>
      <c r="L128">
        <v>34</v>
      </c>
      <c r="M128">
        <v>0</v>
      </c>
      <c r="N128">
        <v>3196</v>
      </c>
      <c r="O128" t="s">
        <v>89</v>
      </c>
      <c r="P128" t="s">
        <v>72</v>
      </c>
      <c r="Q128">
        <v>3196</v>
      </c>
      <c r="R128" t="s">
        <v>72</v>
      </c>
      <c r="S128" t="s">
        <v>73</v>
      </c>
      <c r="T128" t="s">
        <v>74</v>
      </c>
      <c r="U128" t="s">
        <v>190</v>
      </c>
      <c r="V128" t="s">
        <v>517</v>
      </c>
      <c r="W128" t="s">
        <v>92</v>
      </c>
      <c r="X128" t="s">
        <v>77</v>
      </c>
      <c r="Y128">
        <v>2014</v>
      </c>
      <c r="Z128" t="s">
        <v>72</v>
      </c>
      <c r="AA128" t="s">
        <v>72</v>
      </c>
      <c r="AB128" t="s">
        <v>72</v>
      </c>
      <c r="AC128" t="s">
        <v>72</v>
      </c>
      <c r="AD128" t="s">
        <v>72</v>
      </c>
      <c r="AE128">
        <v>0</v>
      </c>
      <c r="AF128" t="s">
        <v>79</v>
      </c>
      <c r="AG128" t="s">
        <v>94</v>
      </c>
      <c r="AH128" t="s">
        <v>95</v>
      </c>
      <c r="AI128" t="s">
        <v>96</v>
      </c>
      <c r="AJ128" t="s">
        <v>97</v>
      </c>
      <c r="AK128">
        <v>0</v>
      </c>
      <c r="AL128">
        <v>0</v>
      </c>
      <c r="AM128">
        <v>0</v>
      </c>
      <c r="AN128" t="s">
        <v>98</v>
      </c>
      <c r="AO128" t="s">
        <v>82</v>
      </c>
      <c r="AP128" t="s">
        <v>114</v>
      </c>
      <c r="AQ128" t="s">
        <v>72</v>
      </c>
      <c r="AR128" t="s">
        <v>72</v>
      </c>
      <c r="AS128" t="s">
        <v>72</v>
      </c>
      <c r="AT128" t="s">
        <v>72</v>
      </c>
      <c r="AU128" t="s">
        <v>72</v>
      </c>
      <c r="AV128" t="s">
        <v>222</v>
      </c>
      <c r="AW128" t="s">
        <v>72</v>
      </c>
      <c r="AX128" t="s">
        <v>223</v>
      </c>
      <c r="AY128">
        <v>42.854900399999998</v>
      </c>
      <c r="AZ128">
        <v>34</v>
      </c>
      <c r="BA128">
        <v>0</v>
      </c>
      <c r="BB128">
        <v>459.28298949999999</v>
      </c>
      <c r="BC128">
        <v>-0.18995400000000001</v>
      </c>
      <c r="BD128">
        <v>0.23438000000000001</v>
      </c>
      <c r="BE128">
        <v>2106.4299316000001</v>
      </c>
      <c r="BF128">
        <v>5.3424101000000004</v>
      </c>
      <c r="BG128">
        <v>0.43162400000000001</v>
      </c>
      <c r="BH128">
        <v>2.3886001000000001</v>
      </c>
      <c r="BI128">
        <v>0.95365200000000006</v>
      </c>
      <c r="BJ128">
        <v>465.19500729999999</v>
      </c>
      <c r="BK128">
        <v>6</v>
      </c>
      <c r="BL128">
        <v>0</v>
      </c>
      <c r="BM128">
        <v>5608.6601561999996</v>
      </c>
      <c r="BN128">
        <v>5956.0097655999998</v>
      </c>
      <c r="BO128">
        <v>97.431396500000005</v>
      </c>
      <c r="BP128">
        <v>699</v>
      </c>
      <c r="BQ128">
        <v>5</v>
      </c>
      <c r="BR128">
        <v>3</v>
      </c>
    </row>
    <row r="129" spans="1:70" x14ac:dyDescent="0.25">
      <c r="A129">
        <v>127</v>
      </c>
      <c r="B129">
        <v>13211</v>
      </c>
      <c r="C129">
        <v>88.420772999999897</v>
      </c>
      <c r="D129">
        <v>26.9263669999999</v>
      </c>
      <c r="E129" t="s">
        <v>518</v>
      </c>
      <c r="F129">
        <v>1</v>
      </c>
      <c r="G129" t="s">
        <v>102</v>
      </c>
      <c r="H129" t="s">
        <v>72</v>
      </c>
      <c r="I129" t="s">
        <v>72</v>
      </c>
      <c r="J129" t="s">
        <v>189</v>
      </c>
      <c r="K129">
        <v>10</v>
      </c>
      <c r="L129">
        <v>8</v>
      </c>
      <c r="M129">
        <v>8</v>
      </c>
      <c r="N129">
        <v>80</v>
      </c>
      <c r="O129" t="s">
        <v>89</v>
      </c>
      <c r="P129" t="s">
        <v>72</v>
      </c>
      <c r="Q129">
        <v>80</v>
      </c>
      <c r="R129" t="s">
        <v>72</v>
      </c>
      <c r="S129" t="s">
        <v>73</v>
      </c>
      <c r="T129" t="s">
        <v>74</v>
      </c>
      <c r="U129" t="s">
        <v>190</v>
      </c>
      <c r="V129" t="s">
        <v>519</v>
      </c>
      <c r="W129" t="s">
        <v>159</v>
      </c>
      <c r="X129" t="s">
        <v>77</v>
      </c>
      <c r="Y129">
        <v>2015</v>
      </c>
      <c r="Z129" t="s">
        <v>72</v>
      </c>
      <c r="AA129" t="s">
        <v>72</v>
      </c>
      <c r="AB129" t="s">
        <v>72</v>
      </c>
      <c r="AC129" t="s">
        <v>72</v>
      </c>
      <c r="AD129" t="s">
        <v>519</v>
      </c>
      <c r="AE129">
        <v>0</v>
      </c>
      <c r="AF129" t="s">
        <v>79</v>
      </c>
      <c r="AG129" t="s">
        <v>94</v>
      </c>
      <c r="AH129" t="s">
        <v>95</v>
      </c>
      <c r="AI129" t="s">
        <v>150</v>
      </c>
      <c r="AJ129" t="s">
        <v>97</v>
      </c>
      <c r="AK129">
        <v>0</v>
      </c>
      <c r="AL129">
        <v>0</v>
      </c>
      <c r="AM129">
        <v>0</v>
      </c>
      <c r="AN129" t="s">
        <v>98</v>
      </c>
      <c r="AO129" t="s">
        <v>82</v>
      </c>
      <c r="AP129" t="s">
        <v>386</v>
      </c>
      <c r="AQ129" t="s">
        <v>72</v>
      </c>
      <c r="AR129" t="s">
        <v>72</v>
      </c>
      <c r="AS129" t="s">
        <v>72</v>
      </c>
      <c r="AT129" t="s">
        <v>176</v>
      </c>
      <c r="AU129" t="s">
        <v>72</v>
      </c>
      <c r="AV129" t="s">
        <v>394</v>
      </c>
      <c r="AW129" t="s">
        <v>72</v>
      </c>
      <c r="AX129" t="s">
        <v>363</v>
      </c>
      <c r="AY129">
        <v>29.311000799999999</v>
      </c>
      <c r="AZ129">
        <v>90</v>
      </c>
      <c r="BA129">
        <v>-0.64</v>
      </c>
      <c r="BB129">
        <v>487.69900510000002</v>
      </c>
      <c r="BC129">
        <v>-0.221247</v>
      </c>
      <c r="BD129">
        <v>0.28288799999999997</v>
      </c>
      <c r="BE129">
        <v>2418.2299804999998</v>
      </c>
      <c r="BF129">
        <v>5.0693102000000003</v>
      </c>
      <c r="BG129">
        <v>0.45833200000000002</v>
      </c>
      <c r="BH129">
        <v>1.19607</v>
      </c>
      <c r="BI129">
        <v>0.62077499999999997</v>
      </c>
      <c r="BJ129">
        <v>413.82400510000002</v>
      </c>
      <c r="BK129">
        <v>6</v>
      </c>
      <c r="BL129">
        <v>0</v>
      </c>
      <c r="BM129">
        <v>5668.3901366999999</v>
      </c>
      <c r="BN129">
        <v>6173.3398438000004</v>
      </c>
      <c r="BO129">
        <v>175.91400150000001</v>
      </c>
      <c r="BP129">
        <v>755</v>
      </c>
      <c r="BQ129">
        <v>5</v>
      </c>
      <c r="BR129">
        <v>3</v>
      </c>
    </row>
    <row r="130" spans="1:70" x14ac:dyDescent="0.25">
      <c r="A130">
        <v>128</v>
      </c>
      <c r="B130">
        <v>12643</v>
      </c>
      <c r="C130">
        <v>88.427000000000007</v>
      </c>
      <c r="D130">
        <v>26.928000000000001</v>
      </c>
      <c r="E130" t="s">
        <v>520</v>
      </c>
      <c r="F130">
        <v>10</v>
      </c>
      <c r="G130" t="s">
        <v>112</v>
      </c>
      <c r="H130" t="s">
        <v>72</v>
      </c>
      <c r="I130" t="s">
        <v>72</v>
      </c>
      <c r="J130" t="s">
        <v>189</v>
      </c>
      <c r="K130">
        <v>200</v>
      </c>
      <c r="L130">
        <v>200</v>
      </c>
      <c r="M130">
        <v>150</v>
      </c>
      <c r="N130">
        <v>40000</v>
      </c>
      <c r="O130" t="s">
        <v>89</v>
      </c>
      <c r="P130" t="s">
        <v>215</v>
      </c>
      <c r="Q130">
        <v>400000</v>
      </c>
      <c r="R130" t="s">
        <v>72</v>
      </c>
      <c r="S130" t="s">
        <v>73</v>
      </c>
      <c r="T130" t="s">
        <v>74</v>
      </c>
      <c r="U130" t="s">
        <v>190</v>
      </c>
      <c r="V130" t="s">
        <v>521</v>
      </c>
      <c r="W130" t="s">
        <v>159</v>
      </c>
      <c r="X130" t="s">
        <v>119</v>
      </c>
      <c r="Y130">
        <v>2012</v>
      </c>
      <c r="Z130" t="s">
        <v>72</v>
      </c>
      <c r="AA130" t="s">
        <v>72</v>
      </c>
      <c r="AB130" t="s">
        <v>72</v>
      </c>
      <c r="AC130" t="s">
        <v>72</v>
      </c>
      <c r="AD130" t="s">
        <v>522</v>
      </c>
      <c r="AE130">
        <v>0</v>
      </c>
      <c r="AF130" t="s">
        <v>148</v>
      </c>
      <c r="AG130" t="s">
        <v>94</v>
      </c>
      <c r="AH130" t="s">
        <v>95</v>
      </c>
      <c r="AI130" t="s">
        <v>121</v>
      </c>
      <c r="AJ130" t="s">
        <v>97</v>
      </c>
      <c r="AK130">
        <v>0</v>
      </c>
      <c r="AL130">
        <v>0</v>
      </c>
      <c r="AM130">
        <v>0</v>
      </c>
      <c r="AN130" t="s">
        <v>98</v>
      </c>
      <c r="AO130" t="s">
        <v>82</v>
      </c>
      <c r="AP130" t="s">
        <v>114</v>
      </c>
      <c r="AQ130" t="s">
        <v>72</v>
      </c>
      <c r="AR130" t="s">
        <v>72</v>
      </c>
      <c r="AS130" t="s">
        <v>72</v>
      </c>
      <c r="AT130" t="s">
        <v>176</v>
      </c>
      <c r="AU130" t="s">
        <v>72</v>
      </c>
      <c r="AV130" t="s">
        <v>217</v>
      </c>
      <c r="AW130" t="s">
        <v>72</v>
      </c>
      <c r="AX130" t="s">
        <v>72</v>
      </c>
      <c r="AY130">
        <v>29.076599099999999</v>
      </c>
      <c r="AZ130">
        <v>70</v>
      </c>
      <c r="BA130">
        <v>0</v>
      </c>
      <c r="BB130">
        <v>449.2780151</v>
      </c>
      <c r="BC130">
        <v>-0.17430499999999999</v>
      </c>
      <c r="BD130">
        <v>0.22304099999999999</v>
      </c>
      <c r="BE130">
        <v>1795</v>
      </c>
      <c r="BF130">
        <v>4.4752201999999999</v>
      </c>
      <c r="BG130">
        <v>0.47368399999999999</v>
      </c>
      <c r="BH130">
        <v>0.53750299999999995</v>
      </c>
      <c r="BI130">
        <v>1.0214000000000001</v>
      </c>
      <c r="BJ130">
        <v>783.52197269999999</v>
      </c>
      <c r="BK130">
        <v>7</v>
      </c>
      <c r="BL130">
        <v>0</v>
      </c>
      <c r="BM130">
        <v>5318.9101561999996</v>
      </c>
      <c r="BN130">
        <v>6127.4199219000002</v>
      </c>
      <c r="BO130">
        <v>142.3059998</v>
      </c>
      <c r="BP130">
        <v>631</v>
      </c>
      <c r="BQ130">
        <v>5</v>
      </c>
      <c r="BR130">
        <v>7</v>
      </c>
    </row>
    <row r="131" spans="1:70" x14ac:dyDescent="0.25">
      <c r="A131">
        <v>129</v>
      </c>
      <c r="B131">
        <v>13210</v>
      </c>
      <c r="C131">
        <v>88.430293000000006</v>
      </c>
      <c r="D131">
        <v>26.928709999999899</v>
      </c>
      <c r="E131" t="s">
        <v>523</v>
      </c>
      <c r="F131">
        <v>1</v>
      </c>
      <c r="G131" t="s">
        <v>102</v>
      </c>
      <c r="H131" t="s">
        <v>72</v>
      </c>
      <c r="I131" t="s">
        <v>72</v>
      </c>
      <c r="J131" t="s">
        <v>189</v>
      </c>
      <c r="K131">
        <v>100</v>
      </c>
      <c r="L131">
        <v>130</v>
      </c>
      <c r="M131">
        <v>80</v>
      </c>
      <c r="N131">
        <v>13000</v>
      </c>
      <c r="O131" t="s">
        <v>89</v>
      </c>
      <c r="P131" t="s">
        <v>215</v>
      </c>
      <c r="Q131">
        <v>13000</v>
      </c>
      <c r="R131" t="s">
        <v>72</v>
      </c>
      <c r="S131" t="s">
        <v>73</v>
      </c>
      <c r="T131" t="s">
        <v>74</v>
      </c>
      <c r="U131" t="s">
        <v>190</v>
      </c>
      <c r="V131" t="s">
        <v>481</v>
      </c>
      <c r="W131" t="s">
        <v>76</v>
      </c>
      <c r="X131" t="s">
        <v>119</v>
      </c>
      <c r="Y131">
        <v>2015</v>
      </c>
      <c r="Z131" t="s">
        <v>72</v>
      </c>
      <c r="AA131" t="s">
        <v>72</v>
      </c>
      <c r="AB131" t="s">
        <v>72</v>
      </c>
      <c r="AC131" t="s">
        <v>72</v>
      </c>
      <c r="AD131" t="s">
        <v>481</v>
      </c>
      <c r="AE131">
        <v>0</v>
      </c>
      <c r="AF131" t="s">
        <v>79</v>
      </c>
      <c r="AG131" t="s">
        <v>94</v>
      </c>
      <c r="AH131" t="s">
        <v>95</v>
      </c>
      <c r="AI131" t="s">
        <v>80</v>
      </c>
      <c r="AJ131" t="s">
        <v>97</v>
      </c>
      <c r="AK131">
        <v>0</v>
      </c>
      <c r="AL131">
        <v>0</v>
      </c>
      <c r="AM131">
        <v>0</v>
      </c>
      <c r="AN131" t="s">
        <v>98</v>
      </c>
      <c r="AO131" t="s">
        <v>107</v>
      </c>
      <c r="AP131" t="s">
        <v>114</v>
      </c>
      <c r="AQ131" t="s">
        <v>72</v>
      </c>
      <c r="AR131" t="s">
        <v>72</v>
      </c>
      <c r="AS131" t="s">
        <v>72</v>
      </c>
      <c r="AT131" t="s">
        <v>176</v>
      </c>
      <c r="AU131" t="s">
        <v>72</v>
      </c>
      <c r="AV131" t="s">
        <v>217</v>
      </c>
      <c r="AW131" t="s">
        <v>72</v>
      </c>
      <c r="AX131" t="s">
        <v>363</v>
      </c>
      <c r="AY131">
        <v>18.081699400000002</v>
      </c>
      <c r="AZ131">
        <v>118</v>
      </c>
      <c r="BA131">
        <v>0.64</v>
      </c>
      <c r="BB131">
        <v>407.2529907</v>
      </c>
      <c r="BC131">
        <v>-0.15808900000000001</v>
      </c>
      <c r="BD131">
        <v>0.197794</v>
      </c>
      <c r="BE131">
        <v>1487.5500488</v>
      </c>
      <c r="BF131">
        <v>4.7436800000000003</v>
      </c>
      <c r="BG131">
        <v>0.50504899999999997</v>
      </c>
      <c r="BH131">
        <v>-0.42263099999999998</v>
      </c>
      <c r="BI131">
        <v>1.11555</v>
      </c>
      <c r="BJ131">
        <v>762.5</v>
      </c>
      <c r="BK131">
        <v>4</v>
      </c>
      <c r="BL131">
        <v>0</v>
      </c>
      <c r="BM131">
        <v>5170.3500977000003</v>
      </c>
      <c r="BN131">
        <v>6121.2402344000002</v>
      </c>
      <c r="BO131">
        <v>152.6499939</v>
      </c>
      <c r="BP131">
        <v>641</v>
      </c>
      <c r="BQ131">
        <v>5</v>
      </c>
      <c r="BR131">
        <v>7</v>
      </c>
    </row>
    <row r="132" spans="1:70" x14ac:dyDescent="0.25">
      <c r="A132">
        <v>130</v>
      </c>
      <c r="B132">
        <v>12709</v>
      </c>
      <c r="C132">
        <v>88.442300000000003</v>
      </c>
      <c r="D132">
        <v>26.928885999999899</v>
      </c>
      <c r="E132" t="s">
        <v>524</v>
      </c>
      <c r="F132">
        <v>1</v>
      </c>
      <c r="G132" t="s">
        <v>102</v>
      </c>
      <c r="H132" t="s">
        <v>72</v>
      </c>
      <c r="I132" t="s">
        <v>72</v>
      </c>
      <c r="J132" t="s">
        <v>189</v>
      </c>
      <c r="K132">
        <v>100</v>
      </c>
      <c r="L132">
        <v>30</v>
      </c>
      <c r="M132">
        <v>40</v>
      </c>
      <c r="N132">
        <v>3000</v>
      </c>
      <c r="O132" t="s">
        <v>89</v>
      </c>
      <c r="P132" t="s">
        <v>72</v>
      </c>
      <c r="Q132">
        <v>3000</v>
      </c>
      <c r="R132" t="s">
        <v>72</v>
      </c>
      <c r="S132" t="s">
        <v>73</v>
      </c>
      <c r="T132" t="s">
        <v>74</v>
      </c>
      <c r="U132" t="s">
        <v>190</v>
      </c>
      <c r="V132" t="s">
        <v>525</v>
      </c>
      <c r="W132" t="s">
        <v>76</v>
      </c>
      <c r="X132" t="s">
        <v>119</v>
      </c>
      <c r="Y132">
        <v>2004</v>
      </c>
      <c r="Z132" t="s">
        <v>72</v>
      </c>
      <c r="AA132" t="s">
        <v>72</v>
      </c>
      <c r="AB132" t="s">
        <v>72</v>
      </c>
      <c r="AC132" t="s">
        <v>72</v>
      </c>
      <c r="AD132" t="s">
        <v>72</v>
      </c>
      <c r="AE132">
        <v>0</v>
      </c>
      <c r="AF132" t="s">
        <v>79</v>
      </c>
      <c r="AG132" t="s">
        <v>94</v>
      </c>
      <c r="AH132" t="s">
        <v>95</v>
      </c>
      <c r="AI132" t="s">
        <v>96</v>
      </c>
      <c r="AJ132" t="s">
        <v>97</v>
      </c>
      <c r="AK132">
        <v>0</v>
      </c>
      <c r="AL132">
        <v>0</v>
      </c>
      <c r="AM132">
        <v>0</v>
      </c>
      <c r="AN132" t="s">
        <v>336</v>
      </c>
      <c r="AO132" t="s">
        <v>82</v>
      </c>
      <c r="AP132" t="s">
        <v>114</v>
      </c>
      <c r="AQ132" t="s">
        <v>72</v>
      </c>
      <c r="AR132" t="s">
        <v>72</v>
      </c>
      <c r="AS132" t="s">
        <v>72</v>
      </c>
      <c r="AT132" t="s">
        <v>176</v>
      </c>
      <c r="AU132" t="s">
        <v>72</v>
      </c>
      <c r="AV132" t="s">
        <v>72</v>
      </c>
      <c r="AW132" t="s">
        <v>72</v>
      </c>
      <c r="AX132" t="s">
        <v>197</v>
      </c>
      <c r="AY132">
        <v>30.216899900000001</v>
      </c>
      <c r="AZ132">
        <v>111</v>
      </c>
      <c r="BA132">
        <v>-1.28</v>
      </c>
      <c r="BB132">
        <v>370.368988</v>
      </c>
      <c r="BC132">
        <v>-0.14985100000000001</v>
      </c>
      <c r="BD132">
        <v>0.201929</v>
      </c>
      <c r="BE132">
        <v>791.85302730000001</v>
      </c>
      <c r="BF132">
        <v>6.0788298000000003</v>
      </c>
      <c r="BG132">
        <v>0.46913700000000003</v>
      </c>
      <c r="BH132">
        <v>2.3888699999999998</v>
      </c>
      <c r="BI132">
        <v>1.4668099999999999</v>
      </c>
      <c r="BJ132">
        <v>175</v>
      </c>
      <c r="BK132">
        <v>4</v>
      </c>
      <c r="BL132">
        <v>0</v>
      </c>
      <c r="BM132">
        <v>5073.7402344000002</v>
      </c>
      <c r="BN132">
        <v>5972.7597655999998</v>
      </c>
      <c r="BO132">
        <v>195.94500729999999</v>
      </c>
      <c r="BP132">
        <v>317</v>
      </c>
      <c r="BQ132">
        <v>5</v>
      </c>
      <c r="BR132">
        <v>7</v>
      </c>
    </row>
    <row r="133" spans="1:70" x14ac:dyDescent="0.25">
      <c r="A133">
        <v>131</v>
      </c>
      <c r="B133">
        <v>13243</v>
      </c>
      <c r="C133">
        <v>88.426893000000007</v>
      </c>
      <c r="D133">
        <v>26.930057999999899</v>
      </c>
      <c r="E133" t="s">
        <v>526</v>
      </c>
      <c r="F133">
        <v>1</v>
      </c>
      <c r="G133" t="s">
        <v>102</v>
      </c>
      <c r="H133" t="s">
        <v>72</v>
      </c>
      <c r="I133" t="s">
        <v>72</v>
      </c>
      <c r="J133" t="s">
        <v>189</v>
      </c>
      <c r="K133">
        <v>4</v>
      </c>
      <c r="L133">
        <v>2</v>
      </c>
      <c r="M133">
        <v>0</v>
      </c>
      <c r="N133">
        <v>8</v>
      </c>
      <c r="O133" t="s">
        <v>89</v>
      </c>
      <c r="P133" t="s">
        <v>72</v>
      </c>
      <c r="Q133">
        <v>8</v>
      </c>
      <c r="R133" t="s">
        <v>72</v>
      </c>
      <c r="S133" t="s">
        <v>73</v>
      </c>
      <c r="T133" t="s">
        <v>74</v>
      </c>
      <c r="U133" t="s">
        <v>190</v>
      </c>
      <c r="V133" t="s">
        <v>481</v>
      </c>
      <c r="W133" t="s">
        <v>76</v>
      </c>
      <c r="X133" t="s">
        <v>77</v>
      </c>
      <c r="Y133">
        <v>2015</v>
      </c>
      <c r="Z133" t="s">
        <v>72</v>
      </c>
      <c r="AA133" t="s">
        <v>72</v>
      </c>
      <c r="AB133" t="s">
        <v>72</v>
      </c>
      <c r="AC133" t="s">
        <v>72</v>
      </c>
      <c r="AD133" t="s">
        <v>72</v>
      </c>
      <c r="AE133">
        <v>0</v>
      </c>
      <c r="AF133" t="s">
        <v>79</v>
      </c>
      <c r="AG133" t="s">
        <v>94</v>
      </c>
      <c r="AH133" t="s">
        <v>95</v>
      </c>
      <c r="AI133" t="s">
        <v>121</v>
      </c>
      <c r="AJ133" t="s">
        <v>97</v>
      </c>
      <c r="AK133">
        <v>0</v>
      </c>
      <c r="AL133">
        <v>0</v>
      </c>
      <c r="AM133">
        <v>0</v>
      </c>
      <c r="AN133" t="s">
        <v>336</v>
      </c>
      <c r="AO133" t="s">
        <v>82</v>
      </c>
      <c r="AP133" t="s">
        <v>114</v>
      </c>
      <c r="AQ133" t="s">
        <v>72</v>
      </c>
      <c r="AR133" t="s">
        <v>72</v>
      </c>
      <c r="AS133" t="s">
        <v>72</v>
      </c>
      <c r="AT133" t="s">
        <v>176</v>
      </c>
      <c r="AU133" t="s">
        <v>72</v>
      </c>
      <c r="AV133" t="s">
        <v>217</v>
      </c>
      <c r="AW133" t="s">
        <v>72</v>
      </c>
      <c r="AX133" t="s">
        <v>363</v>
      </c>
      <c r="AY133">
        <v>30.9638004</v>
      </c>
      <c r="AZ133">
        <v>141</v>
      </c>
      <c r="BA133">
        <v>-1.92</v>
      </c>
      <c r="BB133">
        <v>454.99600220000002</v>
      </c>
      <c r="BC133">
        <v>-8.3363099999999996E-2</v>
      </c>
      <c r="BD133">
        <v>0.137156</v>
      </c>
      <c r="BE133">
        <v>1674.4899902</v>
      </c>
      <c r="BF133">
        <v>4.1351699999999996</v>
      </c>
      <c r="BG133">
        <v>0.50264500000000001</v>
      </c>
      <c r="BH133">
        <v>0.18448700000000001</v>
      </c>
      <c r="BI133">
        <v>0.79299900000000001</v>
      </c>
      <c r="BJ133">
        <v>617.07501219999995</v>
      </c>
      <c r="BK133">
        <v>4</v>
      </c>
      <c r="BL133">
        <v>0</v>
      </c>
      <c r="BM133">
        <v>5090.4501952999999</v>
      </c>
      <c r="BN133">
        <v>6357.7700194999998</v>
      </c>
      <c r="BO133">
        <v>53.130100300000002</v>
      </c>
      <c r="BP133">
        <v>567</v>
      </c>
      <c r="BQ133">
        <v>5</v>
      </c>
      <c r="BR133">
        <v>5</v>
      </c>
    </row>
    <row r="134" spans="1:70" x14ac:dyDescent="0.25">
      <c r="A134">
        <v>132</v>
      </c>
      <c r="B134">
        <v>13209</v>
      </c>
      <c r="C134">
        <v>88.447193999999897</v>
      </c>
      <c r="D134">
        <v>26.929389</v>
      </c>
      <c r="E134" t="s">
        <v>527</v>
      </c>
      <c r="F134">
        <v>1</v>
      </c>
      <c r="G134" t="s">
        <v>102</v>
      </c>
      <c r="H134" t="s">
        <v>72</v>
      </c>
      <c r="I134" t="s">
        <v>72</v>
      </c>
      <c r="J134" t="s">
        <v>189</v>
      </c>
      <c r="K134">
        <v>40</v>
      </c>
      <c r="L134">
        <v>80</v>
      </c>
      <c r="M134">
        <v>20</v>
      </c>
      <c r="N134">
        <v>3200</v>
      </c>
      <c r="O134" t="s">
        <v>89</v>
      </c>
      <c r="P134" t="s">
        <v>215</v>
      </c>
      <c r="Q134">
        <v>3200</v>
      </c>
      <c r="R134" t="s">
        <v>72</v>
      </c>
      <c r="S134" t="s">
        <v>73</v>
      </c>
      <c r="T134" t="s">
        <v>74</v>
      </c>
      <c r="U134" t="s">
        <v>190</v>
      </c>
      <c r="V134" t="s">
        <v>525</v>
      </c>
      <c r="W134" t="s">
        <v>76</v>
      </c>
      <c r="X134" t="s">
        <v>119</v>
      </c>
      <c r="Y134">
        <v>2015</v>
      </c>
      <c r="Z134" t="s">
        <v>72</v>
      </c>
      <c r="AA134" t="s">
        <v>72</v>
      </c>
      <c r="AB134" t="s">
        <v>72</v>
      </c>
      <c r="AC134" t="s">
        <v>72</v>
      </c>
      <c r="AD134" t="s">
        <v>525</v>
      </c>
      <c r="AE134">
        <v>0</v>
      </c>
      <c r="AF134" t="s">
        <v>79</v>
      </c>
      <c r="AG134" t="s">
        <v>94</v>
      </c>
      <c r="AH134" t="s">
        <v>95</v>
      </c>
      <c r="AI134" t="s">
        <v>150</v>
      </c>
      <c r="AJ134" t="s">
        <v>97</v>
      </c>
      <c r="AK134">
        <v>0</v>
      </c>
      <c r="AL134">
        <v>0</v>
      </c>
      <c r="AM134">
        <v>0</v>
      </c>
      <c r="AN134" t="s">
        <v>98</v>
      </c>
      <c r="AO134" t="s">
        <v>107</v>
      </c>
      <c r="AP134" t="s">
        <v>114</v>
      </c>
      <c r="AQ134" t="s">
        <v>72</v>
      </c>
      <c r="AR134" t="s">
        <v>72</v>
      </c>
      <c r="AS134" t="s">
        <v>72</v>
      </c>
      <c r="AT134" t="s">
        <v>176</v>
      </c>
      <c r="AU134" t="s">
        <v>72</v>
      </c>
      <c r="AV134" t="s">
        <v>217</v>
      </c>
      <c r="AW134" t="s">
        <v>72</v>
      </c>
      <c r="AX134" t="s">
        <v>363</v>
      </c>
      <c r="AY134">
        <v>28.548799500000001</v>
      </c>
      <c r="AZ134">
        <v>118</v>
      </c>
      <c r="BA134">
        <v>0.64</v>
      </c>
      <c r="BB134">
        <v>356.9909973</v>
      </c>
      <c r="BC134">
        <v>-0.15620600000000001</v>
      </c>
      <c r="BD134">
        <v>0.20613999999999999</v>
      </c>
      <c r="BE134">
        <v>379.5559998</v>
      </c>
      <c r="BF134">
        <v>5.2864598999999997</v>
      </c>
      <c r="BG134">
        <v>0.50980300000000001</v>
      </c>
      <c r="BH134">
        <v>1.26674</v>
      </c>
      <c r="BI134">
        <v>1.38378</v>
      </c>
      <c r="BJ134">
        <v>285.31799319999999</v>
      </c>
      <c r="BK134">
        <v>4</v>
      </c>
      <c r="BL134">
        <v>0</v>
      </c>
      <c r="BM134">
        <v>5079.9399414</v>
      </c>
      <c r="BN134">
        <v>6014.0698241999999</v>
      </c>
      <c r="BO134">
        <v>197.1029968</v>
      </c>
      <c r="BP134">
        <v>302</v>
      </c>
      <c r="BQ134">
        <v>5</v>
      </c>
      <c r="BR134">
        <v>7</v>
      </c>
    </row>
    <row r="135" spans="1:70" x14ac:dyDescent="0.25">
      <c r="A135">
        <v>133</v>
      </c>
      <c r="B135">
        <v>13038</v>
      </c>
      <c r="C135">
        <v>88.433603000000005</v>
      </c>
      <c r="D135">
        <v>26.932241000000001</v>
      </c>
      <c r="E135" t="s">
        <v>528</v>
      </c>
      <c r="F135">
        <v>1</v>
      </c>
      <c r="G135" t="s">
        <v>102</v>
      </c>
      <c r="H135" t="s">
        <v>72</v>
      </c>
      <c r="I135" t="s">
        <v>72</v>
      </c>
      <c r="J135" t="s">
        <v>189</v>
      </c>
      <c r="K135">
        <v>121</v>
      </c>
      <c r="L135">
        <v>53</v>
      </c>
      <c r="M135">
        <v>0</v>
      </c>
      <c r="N135">
        <v>6413</v>
      </c>
      <c r="O135" t="s">
        <v>89</v>
      </c>
      <c r="P135" t="s">
        <v>72</v>
      </c>
      <c r="Q135">
        <v>6413</v>
      </c>
      <c r="R135" t="s">
        <v>72</v>
      </c>
      <c r="S135" t="s">
        <v>73</v>
      </c>
      <c r="T135" t="s">
        <v>74</v>
      </c>
      <c r="U135" t="s">
        <v>190</v>
      </c>
      <c r="V135" t="s">
        <v>517</v>
      </c>
      <c r="W135" t="s">
        <v>92</v>
      </c>
      <c r="X135" t="s">
        <v>77</v>
      </c>
      <c r="Y135">
        <v>2014</v>
      </c>
      <c r="Z135" t="s">
        <v>72</v>
      </c>
      <c r="AA135" t="s">
        <v>72</v>
      </c>
      <c r="AB135" t="s">
        <v>72</v>
      </c>
      <c r="AC135" t="s">
        <v>72</v>
      </c>
      <c r="AD135" t="s">
        <v>72</v>
      </c>
      <c r="AE135">
        <v>0</v>
      </c>
      <c r="AF135" t="s">
        <v>79</v>
      </c>
      <c r="AG135" t="s">
        <v>94</v>
      </c>
      <c r="AH135" t="s">
        <v>95</v>
      </c>
      <c r="AI135" t="s">
        <v>96</v>
      </c>
      <c r="AJ135" t="s">
        <v>97</v>
      </c>
      <c r="AK135">
        <v>0</v>
      </c>
      <c r="AL135">
        <v>0</v>
      </c>
      <c r="AM135">
        <v>0</v>
      </c>
      <c r="AN135" t="s">
        <v>192</v>
      </c>
      <c r="AO135" t="s">
        <v>82</v>
      </c>
      <c r="AP135" t="s">
        <v>99</v>
      </c>
      <c r="AQ135" t="s">
        <v>72</v>
      </c>
      <c r="AR135" t="s">
        <v>72</v>
      </c>
      <c r="AS135" t="s">
        <v>72</v>
      </c>
      <c r="AT135" t="s">
        <v>72</v>
      </c>
      <c r="AU135" t="s">
        <v>72</v>
      </c>
      <c r="AV135" t="s">
        <v>529</v>
      </c>
      <c r="AW135" t="s">
        <v>72</v>
      </c>
      <c r="AX135" t="s">
        <v>363</v>
      </c>
      <c r="AY135">
        <v>28.910499600000001</v>
      </c>
      <c r="AZ135">
        <v>224</v>
      </c>
      <c r="BA135">
        <v>0.64</v>
      </c>
      <c r="BB135">
        <v>400.03900149999998</v>
      </c>
      <c r="BC135">
        <v>-0.136405</v>
      </c>
      <c r="BD135">
        <v>0.200991</v>
      </c>
      <c r="BE135">
        <v>990.02801509999995</v>
      </c>
      <c r="BF135">
        <v>4.9597201000000002</v>
      </c>
      <c r="BG135">
        <v>0.50370300000000001</v>
      </c>
      <c r="BH135">
        <v>0.96930700000000003</v>
      </c>
      <c r="BI135">
        <v>0.79727000000000003</v>
      </c>
      <c r="BJ135">
        <v>362.5</v>
      </c>
      <c r="BK135">
        <v>4</v>
      </c>
      <c r="BL135">
        <v>0</v>
      </c>
      <c r="BM135">
        <v>4741.6499022999997</v>
      </c>
      <c r="BN135">
        <v>6427.8901366999999</v>
      </c>
      <c r="BO135">
        <v>354.8059998</v>
      </c>
      <c r="BP135">
        <v>465</v>
      </c>
      <c r="BQ135">
        <v>5</v>
      </c>
      <c r="BR135">
        <v>7</v>
      </c>
    </row>
    <row r="136" spans="1:70" x14ac:dyDescent="0.25">
      <c r="A136">
        <v>134</v>
      </c>
      <c r="B136">
        <v>13039</v>
      </c>
      <c r="C136">
        <v>88.436976999999899</v>
      </c>
      <c r="D136">
        <v>26.934608999999899</v>
      </c>
      <c r="E136" t="s">
        <v>530</v>
      </c>
      <c r="F136">
        <v>1</v>
      </c>
      <c r="G136" t="s">
        <v>112</v>
      </c>
      <c r="H136" t="s">
        <v>72</v>
      </c>
      <c r="I136" t="s">
        <v>72</v>
      </c>
      <c r="J136" t="s">
        <v>189</v>
      </c>
      <c r="K136">
        <v>180</v>
      </c>
      <c r="L136">
        <v>140</v>
      </c>
      <c r="M136">
        <v>0</v>
      </c>
      <c r="N136">
        <v>25200</v>
      </c>
      <c r="O136" t="s">
        <v>89</v>
      </c>
      <c r="P136" t="s">
        <v>72</v>
      </c>
      <c r="Q136">
        <v>25200</v>
      </c>
      <c r="R136" t="s">
        <v>72</v>
      </c>
      <c r="S136" t="s">
        <v>73</v>
      </c>
      <c r="T136" t="s">
        <v>74</v>
      </c>
      <c r="U136" t="s">
        <v>190</v>
      </c>
      <c r="V136" t="s">
        <v>531</v>
      </c>
      <c r="W136" t="s">
        <v>92</v>
      </c>
      <c r="X136" t="s">
        <v>77</v>
      </c>
      <c r="Y136">
        <v>2014</v>
      </c>
      <c r="Z136" t="s">
        <v>72</v>
      </c>
      <c r="AA136" t="s">
        <v>72</v>
      </c>
      <c r="AB136" t="s">
        <v>72</v>
      </c>
      <c r="AC136" t="s">
        <v>72</v>
      </c>
      <c r="AD136" t="s">
        <v>72</v>
      </c>
      <c r="AE136">
        <v>0</v>
      </c>
      <c r="AF136" t="s">
        <v>148</v>
      </c>
      <c r="AG136" t="s">
        <v>94</v>
      </c>
      <c r="AH136" t="s">
        <v>95</v>
      </c>
      <c r="AI136" t="s">
        <v>96</v>
      </c>
      <c r="AJ136" t="s">
        <v>97</v>
      </c>
      <c r="AK136">
        <v>0</v>
      </c>
      <c r="AL136">
        <v>0</v>
      </c>
      <c r="AM136">
        <v>0</v>
      </c>
      <c r="AN136" t="s">
        <v>192</v>
      </c>
      <c r="AO136" t="s">
        <v>82</v>
      </c>
      <c r="AP136" t="s">
        <v>99</v>
      </c>
      <c r="AQ136" t="s">
        <v>72</v>
      </c>
      <c r="AR136" t="s">
        <v>72</v>
      </c>
      <c r="AS136" t="s">
        <v>72</v>
      </c>
      <c r="AT136" t="s">
        <v>72</v>
      </c>
      <c r="AU136" t="s">
        <v>72</v>
      </c>
      <c r="AV136" t="s">
        <v>217</v>
      </c>
      <c r="AW136" t="s">
        <v>72</v>
      </c>
      <c r="AX136" t="s">
        <v>363</v>
      </c>
      <c r="AY136">
        <v>29.450099900000001</v>
      </c>
      <c r="AZ136">
        <v>123</v>
      </c>
      <c r="BA136">
        <v>2.5599999000000002</v>
      </c>
      <c r="BB136">
        <v>392.20498659999998</v>
      </c>
      <c r="BC136">
        <v>-0.18681</v>
      </c>
      <c r="BD136">
        <v>0.23668500000000001</v>
      </c>
      <c r="BE136">
        <v>565.27099610000005</v>
      </c>
      <c r="BF136">
        <v>3.0973201000000001</v>
      </c>
      <c r="BG136">
        <v>0.50877099999999997</v>
      </c>
      <c r="BH136">
        <v>-7.4775801</v>
      </c>
      <c r="BI136">
        <v>0.87188699999999997</v>
      </c>
      <c r="BJ136">
        <v>115.2440033</v>
      </c>
      <c r="BK136">
        <v>7</v>
      </c>
      <c r="BL136">
        <v>0</v>
      </c>
      <c r="BM136">
        <v>4442</v>
      </c>
      <c r="BN136">
        <v>6647.0200194999998</v>
      </c>
      <c r="BO136">
        <v>67.067901599999999</v>
      </c>
      <c r="BP136">
        <v>317</v>
      </c>
      <c r="BQ136">
        <v>5</v>
      </c>
      <c r="BR136">
        <v>7</v>
      </c>
    </row>
    <row r="137" spans="1:70" x14ac:dyDescent="0.25">
      <c r="A137">
        <v>135</v>
      </c>
      <c r="B137">
        <v>12614</v>
      </c>
      <c r="C137">
        <v>88.439126000000002</v>
      </c>
      <c r="D137">
        <v>26.88618</v>
      </c>
      <c r="E137" t="s">
        <v>532</v>
      </c>
      <c r="F137">
        <v>1</v>
      </c>
      <c r="G137" t="s">
        <v>490</v>
      </c>
      <c r="H137" t="s">
        <v>72</v>
      </c>
      <c r="I137" t="s">
        <v>72</v>
      </c>
      <c r="J137" t="s">
        <v>189</v>
      </c>
      <c r="K137">
        <v>103</v>
      </c>
      <c r="L137">
        <v>56</v>
      </c>
      <c r="M137">
        <v>0</v>
      </c>
      <c r="N137">
        <v>5768</v>
      </c>
      <c r="O137" t="s">
        <v>89</v>
      </c>
      <c r="P137" t="s">
        <v>533</v>
      </c>
      <c r="Q137">
        <v>5768</v>
      </c>
      <c r="R137" t="s">
        <v>72</v>
      </c>
      <c r="S137" t="s">
        <v>73</v>
      </c>
      <c r="T137" t="s">
        <v>74</v>
      </c>
      <c r="U137" t="s">
        <v>190</v>
      </c>
      <c r="V137" t="s">
        <v>534</v>
      </c>
      <c r="W137" t="s">
        <v>92</v>
      </c>
      <c r="X137" t="s">
        <v>77</v>
      </c>
      <c r="Y137">
        <v>2014</v>
      </c>
      <c r="Z137" t="s">
        <v>72</v>
      </c>
      <c r="AA137" t="s">
        <v>72</v>
      </c>
      <c r="AB137" t="s">
        <v>72</v>
      </c>
      <c r="AC137" t="s">
        <v>72</v>
      </c>
      <c r="AD137" t="s">
        <v>72</v>
      </c>
      <c r="AE137">
        <v>0</v>
      </c>
      <c r="AF137" t="s">
        <v>148</v>
      </c>
      <c r="AG137" t="s">
        <v>94</v>
      </c>
      <c r="AH137" t="s">
        <v>95</v>
      </c>
      <c r="AI137" t="s">
        <v>96</v>
      </c>
      <c r="AJ137" t="s">
        <v>97</v>
      </c>
      <c r="AK137">
        <v>0</v>
      </c>
      <c r="AL137">
        <v>0</v>
      </c>
      <c r="AM137">
        <v>0</v>
      </c>
      <c r="AN137" t="s">
        <v>134</v>
      </c>
      <c r="AO137" t="s">
        <v>82</v>
      </c>
      <c r="AP137" t="s">
        <v>114</v>
      </c>
      <c r="AQ137" t="s">
        <v>72</v>
      </c>
      <c r="AR137" t="s">
        <v>72</v>
      </c>
      <c r="AS137" t="s">
        <v>72</v>
      </c>
      <c r="AT137" t="s">
        <v>72</v>
      </c>
      <c r="AU137" t="s">
        <v>72</v>
      </c>
      <c r="AV137" t="s">
        <v>217</v>
      </c>
      <c r="AW137" t="s">
        <v>72</v>
      </c>
      <c r="AX137" t="s">
        <v>307</v>
      </c>
      <c r="AY137">
        <v>39.451698299999997</v>
      </c>
      <c r="AZ137">
        <v>30</v>
      </c>
      <c r="BA137">
        <v>-3.8399999</v>
      </c>
      <c r="BB137">
        <v>401.04199219999998</v>
      </c>
      <c r="BC137">
        <v>-0.18379100000000001</v>
      </c>
      <c r="BD137">
        <v>0.206258</v>
      </c>
      <c r="BE137">
        <v>2355.6101073999998</v>
      </c>
      <c r="BF137">
        <v>6.2171301999999997</v>
      </c>
      <c r="BG137">
        <v>0.48275899999999999</v>
      </c>
      <c r="BH137">
        <v>3.2720899999999999</v>
      </c>
      <c r="BI137">
        <v>0.76611899999999999</v>
      </c>
      <c r="BJ137">
        <v>820.25097659999994</v>
      </c>
      <c r="BK137">
        <v>6</v>
      </c>
      <c r="BL137">
        <v>0</v>
      </c>
      <c r="BM137">
        <v>8175.7001952999999</v>
      </c>
      <c r="BN137">
        <v>1369.5899658000001</v>
      </c>
      <c r="BO137">
        <v>154.05799870000001</v>
      </c>
      <c r="BP137">
        <v>455</v>
      </c>
      <c r="BQ137">
        <v>4</v>
      </c>
      <c r="BR137">
        <v>3</v>
      </c>
    </row>
    <row r="138" spans="1:70" x14ac:dyDescent="0.25">
      <c r="A138">
        <v>136</v>
      </c>
      <c r="B138">
        <v>13048</v>
      </c>
      <c r="C138">
        <v>88.462314000000006</v>
      </c>
      <c r="D138">
        <v>26.886854</v>
      </c>
      <c r="E138" t="s">
        <v>535</v>
      </c>
      <c r="F138">
        <v>1</v>
      </c>
      <c r="G138" t="s">
        <v>102</v>
      </c>
      <c r="H138" t="s">
        <v>72</v>
      </c>
      <c r="I138" t="s">
        <v>72</v>
      </c>
      <c r="J138" t="s">
        <v>189</v>
      </c>
      <c r="K138">
        <v>500</v>
      </c>
      <c r="L138">
        <v>200</v>
      </c>
      <c r="M138">
        <v>110</v>
      </c>
      <c r="N138">
        <v>100000</v>
      </c>
      <c r="O138" t="s">
        <v>89</v>
      </c>
      <c r="P138" t="s">
        <v>72</v>
      </c>
      <c r="Q138">
        <v>100000</v>
      </c>
      <c r="R138" t="s">
        <v>72</v>
      </c>
      <c r="S138" t="s">
        <v>73</v>
      </c>
      <c r="T138" t="s">
        <v>74</v>
      </c>
      <c r="U138" t="s">
        <v>190</v>
      </c>
      <c r="V138" t="s">
        <v>536</v>
      </c>
      <c r="W138" t="s">
        <v>208</v>
      </c>
      <c r="X138" t="s">
        <v>77</v>
      </c>
      <c r="Y138">
        <v>2010</v>
      </c>
      <c r="Z138" t="s">
        <v>72</v>
      </c>
      <c r="AA138" t="s">
        <v>72</v>
      </c>
      <c r="AB138" t="s">
        <v>72</v>
      </c>
      <c r="AC138" t="s">
        <v>72</v>
      </c>
      <c r="AD138" t="s">
        <v>72</v>
      </c>
      <c r="AE138">
        <v>0</v>
      </c>
      <c r="AF138" t="s">
        <v>79</v>
      </c>
      <c r="AG138" t="s">
        <v>94</v>
      </c>
      <c r="AH138" t="s">
        <v>95</v>
      </c>
      <c r="AI138" t="s">
        <v>96</v>
      </c>
      <c r="AJ138" t="s">
        <v>97</v>
      </c>
      <c r="AK138">
        <v>0</v>
      </c>
      <c r="AL138">
        <v>0</v>
      </c>
      <c r="AM138">
        <v>0</v>
      </c>
      <c r="AN138" t="s">
        <v>181</v>
      </c>
      <c r="AO138" t="s">
        <v>82</v>
      </c>
      <c r="AP138" t="s">
        <v>114</v>
      </c>
      <c r="AQ138" t="s">
        <v>72</v>
      </c>
      <c r="AR138" t="s">
        <v>72</v>
      </c>
      <c r="AS138" t="s">
        <v>72</v>
      </c>
      <c r="AT138" t="s">
        <v>72</v>
      </c>
      <c r="AU138" t="s">
        <v>72</v>
      </c>
      <c r="AV138" t="s">
        <v>217</v>
      </c>
      <c r="AW138" t="s">
        <v>72</v>
      </c>
      <c r="AX138" t="s">
        <v>488</v>
      </c>
      <c r="AY138">
        <v>27.629800800000002</v>
      </c>
      <c r="AZ138">
        <v>94</v>
      </c>
      <c r="BA138">
        <v>3.2</v>
      </c>
      <c r="BB138">
        <v>423.22799680000003</v>
      </c>
      <c r="BC138">
        <v>-0.23699600000000001</v>
      </c>
      <c r="BD138">
        <v>0.295769</v>
      </c>
      <c r="BE138">
        <v>843.0780029</v>
      </c>
      <c r="BF138">
        <v>4.9475999000000002</v>
      </c>
      <c r="BG138">
        <v>0.539682</v>
      </c>
      <c r="BH138">
        <v>1.31758</v>
      </c>
      <c r="BI138">
        <v>0.79069100000000003</v>
      </c>
      <c r="BJ138">
        <v>553.39898679999999</v>
      </c>
      <c r="BK138">
        <v>6</v>
      </c>
      <c r="BL138">
        <v>0</v>
      </c>
      <c r="BM138">
        <v>8562.4501952999999</v>
      </c>
      <c r="BN138">
        <v>1387.5</v>
      </c>
      <c r="BO138">
        <v>96.581901599999995</v>
      </c>
      <c r="BP138">
        <v>284</v>
      </c>
      <c r="BQ138">
        <v>4</v>
      </c>
      <c r="BR138">
        <v>3</v>
      </c>
    </row>
    <row r="139" spans="1:70" x14ac:dyDescent="0.25">
      <c r="A139">
        <v>137</v>
      </c>
      <c r="B139">
        <v>12718</v>
      </c>
      <c r="C139">
        <v>88.443695000000005</v>
      </c>
      <c r="D139">
        <v>26.891296000000001</v>
      </c>
      <c r="E139" t="s">
        <v>537</v>
      </c>
      <c r="F139">
        <v>1</v>
      </c>
      <c r="G139" t="s">
        <v>102</v>
      </c>
      <c r="H139" t="s">
        <v>72</v>
      </c>
      <c r="I139" t="s">
        <v>72</v>
      </c>
      <c r="J139" t="s">
        <v>189</v>
      </c>
      <c r="K139">
        <v>240</v>
      </c>
      <c r="L139">
        <v>200</v>
      </c>
      <c r="M139">
        <v>150</v>
      </c>
      <c r="N139">
        <v>48000</v>
      </c>
      <c r="O139" t="s">
        <v>89</v>
      </c>
      <c r="P139" t="s">
        <v>72</v>
      </c>
      <c r="Q139">
        <v>48000</v>
      </c>
      <c r="R139" t="s">
        <v>72</v>
      </c>
      <c r="S139" t="s">
        <v>73</v>
      </c>
      <c r="T139" t="s">
        <v>74</v>
      </c>
      <c r="U139" t="s">
        <v>190</v>
      </c>
      <c r="V139" t="s">
        <v>538</v>
      </c>
      <c r="W139" t="s">
        <v>76</v>
      </c>
      <c r="X139" t="s">
        <v>119</v>
      </c>
      <c r="Y139">
        <v>2004</v>
      </c>
      <c r="Z139" t="s">
        <v>72</v>
      </c>
      <c r="AA139" t="s">
        <v>72</v>
      </c>
      <c r="AB139" t="s">
        <v>72</v>
      </c>
      <c r="AC139" t="s">
        <v>72</v>
      </c>
      <c r="AD139" t="s">
        <v>72</v>
      </c>
      <c r="AE139">
        <v>0</v>
      </c>
      <c r="AF139" t="s">
        <v>79</v>
      </c>
      <c r="AG139" t="s">
        <v>94</v>
      </c>
      <c r="AH139" t="s">
        <v>95</v>
      </c>
      <c r="AI139" t="s">
        <v>80</v>
      </c>
      <c r="AJ139" t="s">
        <v>97</v>
      </c>
      <c r="AK139">
        <v>0</v>
      </c>
      <c r="AL139">
        <v>0</v>
      </c>
      <c r="AM139">
        <v>0</v>
      </c>
      <c r="AN139" t="s">
        <v>134</v>
      </c>
      <c r="AO139" t="s">
        <v>82</v>
      </c>
      <c r="AP139" t="s">
        <v>114</v>
      </c>
      <c r="AQ139" t="s">
        <v>72</v>
      </c>
      <c r="AR139" t="s">
        <v>72</v>
      </c>
      <c r="AS139" t="s">
        <v>72</v>
      </c>
      <c r="AT139" t="s">
        <v>176</v>
      </c>
      <c r="AU139" t="s">
        <v>72</v>
      </c>
      <c r="AV139" t="s">
        <v>72</v>
      </c>
      <c r="AW139" t="s">
        <v>72</v>
      </c>
      <c r="AX139" t="s">
        <v>539</v>
      </c>
      <c r="AY139">
        <v>49.579299900000002</v>
      </c>
      <c r="AZ139">
        <v>0</v>
      </c>
      <c r="BA139">
        <v>-5.1199998999999998</v>
      </c>
      <c r="BB139">
        <v>503.59799190000001</v>
      </c>
      <c r="BC139">
        <v>-0.16958799999999999</v>
      </c>
      <c r="BD139">
        <v>0.21319099999999999</v>
      </c>
      <c r="BE139">
        <v>2274.3798827999999</v>
      </c>
      <c r="BF139">
        <v>5.5567498000000004</v>
      </c>
      <c r="BG139">
        <v>0.45799400000000001</v>
      </c>
      <c r="BH139">
        <v>2.8049400000000002</v>
      </c>
      <c r="BI139">
        <v>0.29411399999999999</v>
      </c>
      <c r="BJ139">
        <v>1092.0200195</v>
      </c>
      <c r="BK139">
        <v>7</v>
      </c>
      <c r="BL139">
        <v>0</v>
      </c>
      <c r="BM139">
        <v>8740.4003905999998</v>
      </c>
      <c r="BN139">
        <v>1807.3199463000001</v>
      </c>
      <c r="BO139">
        <v>133.61999510000001</v>
      </c>
      <c r="BP139">
        <v>631</v>
      </c>
      <c r="BQ139">
        <v>4</v>
      </c>
      <c r="BR139">
        <v>3</v>
      </c>
    </row>
    <row r="140" spans="1:70" x14ac:dyDescent="0.25">
      <c r="A140">
        <v>138</v>
      </c>
      <c r="B140">
        <v>12734</v>
      </c>
      <c r="C140">
        <v>88.444426000000007</v>
      </c>
      <c r="D140">
        <v>26.892372000000002</v>
      </c>
      <c r="E140" t="s">
        <v>540</v>
      </c>
      <c r="F140">
        <v>1</v>
      </c>
      <c r="G140" t="s">
        <v>102</v>
      </c>
      <c r="H140" t="s">
        <v>72</v>
      </c>
      <c r="I140" t="s">
        <v>72</v>
      </c>
      <c r="J140" t="s">
        <v>189</v>
      </c>
      <c r="K140">
        <v>80</v>
      </c>
      <c r="L140">
        <v>30</v>
      </c>
      <c r="M140">
        <v>70</v>
      </c>
      <c r="N140">
        <v>2400</v>
      </c>
      <c r="O140" t="s">
        <v>89</v>
      </c>
      <c r="P140" t="s">
        <v>72</v>
      </c>
      <c r="Q140">
        <v>2400</v>
      </c>
      <c r="R140" t="s">
        <v>72</v>
      </c>
      <c r="S140" t="s">
        <v>73</v>
      </c>
      <c r="T140" t="s">
        <v>74</v>
      </c>
      <c r="U140" t="s">
        <v>190</v>
      </c>
      <c r="V140" t="s">
        <v>538</v>
      </c>
      <c r="W140" t="s">
        <v>76</v>
      </c>
      <c r="X140" t="s">
        <v>77</v>
      </c>
      <c r="Y140">
        <v>2004</v>
      </c>
      <c r="Z140" t="s">
        <v>72</v>
      </c>
      <c r="AA140" t="s">
        <v>72</v>
      </c>
      <c r="AB140" t="s">
        <v>72</v>
      </c>
      <c r="AC140" t="s">
        <v>72</v>
      </c>
      <c r="AD140" t="s">
        <v>72</v>
      </c>
      <c r="AE140">
        <v>0</v>
      </c>
      <c r="AF140" t="s">
        <v>79</v>
      </c>
      <c r="AG140" t="s">
        <v>94</v>
      </c>
      <c r="AH140" t="s">
        <v>95</v>
      </c>
      <c r="AI140" t="s">
        <v>80</v>
      </c>
      <c r="AJ140" t="s">
        <v>97</v>
      </c>
      <c r="AK140">
        <v>0</v>
      </c>
      <c r="AL140">
        <v>0</v>
      </c>
      <c r="AM140">
        <v>0</v>
      </c>
      <c r="AN140" t="s">
        <v>134</v>
      </c>
      <c r="AO140" t="s">
        <v>193</v>
      </c>
      <c r="AP140" t="s">
        <v>114</v>
      </c>
      <c r="AQ140" t="s">
        <v>72</v>
      </c>
      <c r="AR140" t="s">
        <v>72</v>
      </c>
      <c r="AS140" t="s">
        <v>72</v>
      </c>
      <c r="AT140" t="s">
        <v>176</v>
      </c>
      <c r="AU140" t="s">
        <v>72</v>
      </c>
      <c r="AV140" t="s">
        <v>72</v>
      </c>
      <c r="AW140" t="s">
        <v>72</v>
      </c>
      <c r="AX140" t="s">
        <v>379</v>
      </c>
      <c r="AY140">
        <v>49.153999300000002</v>
      </c>
      <c r="AZ140">
        <v>0</v>
      </c>
      <c r="BA140">
        <v>4.4800000000000004</v>
      </c>
      <c r="BB140">
        <v>484.10998540000003</v>
      </c>
      <c r="BC140">
        <v>-0.18785499999999999</v>
      </c>
      <c r="BD140">
        <v>0.224051</v>
      </c>
      <c r="BE140">
        <v>2291.3200683999999</v>
      </c>
      <c r="BF140">
        <v>4.1719799000000002</v>
      </c>
      <c r="BG140">
        <v>0.51219499999999996</v>
      </c>
      <c r="BH140">
        <v>1.7560199000000001</v>
      </c>
      <c r="BI140">
        <v>0.193217</v>
      </c>
      <c r="BJ140">
        <v>1150.3399658000001</v>
      </c>
      <c r="BK140">
        <v>4</v>
      </c>
      <c r="BL140">
        <v>0</v>
      </c>
      <c r="BM140">
        <v>8841.0996094000002</v>
      </c>
      <c r="BN140">
        <v>1914.5</v>
      </c>
      <c r="BO140">
        <v>146.996994</v>
      </c>
      <c r="BP140">
        <v>651</v>
      </c>
      <c r="BQ140">
        <v>4</v>
      </c>
      <c r="BR140">
        <v>3</v>
      </c>
    </row>
    <row r="141" spans="1:70" x14ac:dyDescent="0.25">
      <c r="A141">
        <v>139</v>
      </c>
      <c r="B141">
        <v>12708</v>
      </c>
      <c r="C141">
        <v>88.439335999999898</v>
      </c>
      <c r="D141">
        <v>26.897155999999899</v>
      </c>
      <c r="E141" t="s">
        <v>541</v>
      </c>
      <c r="F141">
        <v>1</v>
      </c>
      <c r="G141" t="s">
        <v>102</v>
      </c>
      <c r="H141" t="s">
        <v>72</v>
      </c>
      <c r="I141" t="s">
        <v>72</v>
      </c>
      <c r="J141" t="s">
        <v>189</v>
      </c>
      <c r="K141">
        <v>400</v>
      </c>
      <c r="L141">
        <v>70</v>
      </c>
      <c r="M141">
        <v>170</v>
      </c>
      <c r="N141">
        <v>28000</v>
      </c>
      <c r="O141" t="s">
        <v>89</v>
      </c>
      <c r="P141" t="s">
        <v>72</v>
      </c>
      <c r="Q141">
        <v>28000</v>
      </c>
      <c r="R141" t="s">
        <v>72</v>
      </c>
      <c r="S141" t="s">
        <v>73</v>
      </c>
      <c r="T141" t="s">
        <v>74</v>
      </c>
      <c r="U141" t="s">
        <v>190</v>
      </c>
      <c r="V141" t="s">
        <v>542</v>
      </c>
      <c r="W141" t="s">
        <v>76</v>
      </c>
      <c r="X141" t="s">
        <v>77</v>
      </c>
      <c r="Y141">
        <v>2004</v>
      </c>
      <c r="Z141" t="s">
        <v>72</v>
      </c>
      <c r="AA141" t="s">
        <v>72</v>
      </c>
      <c r="AB141" t="s">
        <v>72</v>
      </c>
      <c r="AC141" t="s">
        <v>72</v>
      </c>
      <c r="AD141" t="s">
        <v>72</v>
      </c>
      <c r="AE141">
        <v>0</v>
      </c>
      <c r="AF141" t="s">
        <v>79</v>
      </c>
      <c r="AG141" t="s">
        <v>94</v>
      </c>
      <c r="AH141" t="s">
        <v>95</v>
      </c>
      <c r="AI141" t="s">
        <v>96</v>
      </c>
      <c r="AJ141" t="s">
        <v>97</v>
      </c>
      <c r="AK141">
        <v>0</v>
      </c>
      <c r="AL141">
        <v>0</v>
      </c>
      <c r="AM141">
        <v>0</v>
      </c>
      <c r="AN141" t="s">
        <v>181</v>
      </c>
      <c r="AO141" t="s">
        <v>82</v>
      </c>
      <c r="AP141" t="s">
        <v>114</v>
      </c>
      <c r="AQ141" t="s">
        <v>72</v>
      </c>
      <c r="AR141" t="s">
        <v>72</v>
      </c>
      <c r="AS141" t="s">
        <v>72</v>
      </c>
      <c r="AT141" t="s">
        <v>176</v>
      </c>
      <c r="AU141" t="s">
        <v>72</v>
      </c>
      <c r="AV141" t="s">
        <v>72</v>
      </c>
      <c r="AW141" t="s">
        <v>72</v>
      </c>
      <c r="AX141" t="s">
        <v>197</v>
      </c>
      <c r="AY141">
        <v>35.166900599999998</v>
      </c>
      <c r="AZ141">
        <v>166</v>
      </c>
      <c r="BA141">
        <v>-0.64</v>
      </c>
      <c r="BB141">
        <v>431.84899899999999</v>
      </c>
      <c r="BC141">
        <v>-0.169519</v>
      </c>
      <c r="BD141">
        <v>0.226241</v>
      </c>
      <c r="BE141">
        <v>3024.1699219000002</v>
      </c>
      <c r="BF141">
        <v>4.2622099000000002</v>
      </c>
      <c r="BG141">
        <v>0.51388900000000004</v>
      </c>
      <c r="BH141">
        <v>0.75017699999999998</v>
      </c>
      <c r="BI141">
        <v>0.17712600000000001</v>
      </c>
      <c r="BJ141">
        <v>594.24298099999999</v>
      </c>
      <c r="BK141">
        <v>7</v>
      </c>
      <c r="BL141">
        <v>0</v>
      </c>
      <c r="BM141">
        <v>8503.0595702999999</v>
      </c>
      <c r="BN141">
        <v>2510.2600097999998</v>
      </c>
      <c r="BO141">
        <v>235.40800479999999</v>
      </c>
      <c r="BP141">
        <v>496</v>
      </c>
      <c r="BQ141">
        <v>4</v>
      </c>
      <c r="BR141">
        <v>3</v>
      </c>
    </row>
    <row r="142" spans="1:70" x14ac:dyDescent="0.25">
      <c r="A142">
        <v>140</v>
      </c>
      <c r="B142">
        <v>12616</v>
      </c>
      <c r="C142">
        <v>88.465511000000006</v>
      </c>
      <c r="D142">
        <v>26.896042999999899</v>
      </c>
      <c r="E142" t="s">
        <v>543</v>
      </c>
      <c r="F142">
        <v>1</v>
      </c>
      <c r="G142" t="s">
        <v>490</v>
      </c>
      <c r="H142" t="s">
        <v>72</v>
      </c>
      <c r="I142" t="s">
        <v>72</v>
      </c>
      <c r="J142" t="s">
        <v>189</v>
      </c>
      <c r="K142">
        <v>171</v>
      </c>
      <c r="L142">
        <v>146</v>
      </c>
      <c r="M142">
        <v>0</v>
      </c>
      <c r="N142">
        <v>24966</v>
      </c>
      <c r="O142" t="s">
        <v>89</v>
      </c>
      <c r="P142" t="s">
        <v>72</v>
      </c>
      <c r="Q142">
        <v>24966</v>
      </c>
      <c r="R142" t="s">
        <v>72</v>
      </c>
      <c r="S142" t="s">
        <v>73</v>
      </c>
      <c r="T142" t="s">
        <v>74</v>
      </c>
      <c r="U142" t="s">
        <v>190</v>
      </c>
      <c r="V142" t="s">
        <v>534</v>
      </c>
      <c r="W142" t="s">
        <v>92</v>
      </c>
      <c r="X142" t="s">
        <v>77</v>
      </c>
      <c r="Y142">
        <v>2014</v>
      </c>
      <c r="Z142" t="s">
        <v>72</v>
      </c>
      <c r="AA142" t="s">
        <v>72</v>
      </c>
      <c r="AB142" t="s">
        <v>72</v>
      </c>
      <c r="AC142" t="s">
        <v>72</v>
      </c>
      <c r="AD142" t="s">
        <v>72</v>
      </c>
      <c r="AE142">
        <v>0</v>
      </c>
      <c r="AF142" t="s">
        <v>148</v>
      </c>
      <c r="AG142" t="s">
        <v>94</v>
      </c>
      <c r="AH142" t="s">
        <v>95</v>
      </c>
      <c r="AI142" t="s">
        <v>96</v>
      </c>
      <c r="AJ142" t="s">
        <v>97</v>
      </c>
      <c r="AK142">
        <v>0</v>
      </c>
      <c r="AL142">
        <v>0</v>
      </c>
      <c r="AM142">
        <v>0</v>
      </c>
      <c r="AN142" t="s">
        <v>134</v>
      </c>
      <c r="AO142" t="s">
        <v>82</v>
      </c>
      <c r="AP142" t="s">
        <v>114</v>
      </c>
      <c r="AQ142" t="s">
        <v>72</v>
      </c>
      <c r="AR142" t="s">
        <v>72</v>
      </c>
      <c r="AS142" t="s">
        <v>72</v>
      </c>
      <c r="AT142" t="s">
        <v>72</v>
      </c>
      <c r="AU142" t="s">
        <v>72</v>
      </c>
      <c r="AV142" t="s">
        <v>217</v>
      </c>
      <c r="AW142" t="s">
        <v>72</v>
      </c>
      <c r="AX142" t="s">
        <v>307</v>
      </c>
      <c r="AY142">
        <v>39.082000700000002</v>
      </c>
      <c r="AZ142">
        <v>153</v>
      </c>
      <c r="BA142">
        <v>-0.64</v>
      </c>
      <c r="BB142">
        <v>492.27499390000003</v>
      </c>
      <c r="BC142">
        <v>-0.144985</v>
      </c>
      <c r="BD142">
        <v>0.19478100000000001</v>
      </c>
      <c r="BE142">
        <v>760.96197510000002</v>
      </c>
      <c r="BF142">
        <v>5.7783097999999997</v>
      </c>
      <c r="BG142">
        <v>0.51190500000000005</v>
      </c>
      <c r="BH142">
        <v>2.7889499999999998</v>
      </c>
      <c r="BI142">
        <v>0.43166599999999999</v>
      </c>
      <c r="BJ142">
        <v>887.5</v>
      </c>
      <c r="BK142">
        <v>6</v>
      </c>
      <c r="BL142">
        <v>0</v>
      </c>
      <c r="BM142">
        <v>7717.2700194999998</v>
      </c>
      <c r="BN142">
        <v>2425</v>
      </c>
      <c r="BO142">
        <v>232.00100710000001</v>
      </c>
      <c r="BP142">
        <v>466</v>
      </c>
      <c r="BQ142">
        <v>4</v>
      </c>
      <c r="BR142">
        <v>3</v>
      </c>
    </row>
    <row r="143" spans="1:70" x14ac:dyDescent="0.25">
      <c r="A143">
        <v>141</v>
      </c>
      <c r="B143">
        <v>13017</v>
      </c>
      <c r="C143">
        <v>88.461562000000001</v>
      </c>
      <c r="D143">
        <v>26.896529999999899</v>
      </c>
      <c r="E143" t="s">
        <v>544</v>
      </c>
      <c r="F143">
        <v>1</v>
      </c>
      <c r="G143" t="s">
        <v>490</v>
      </c>
      <c r="H143" t="s">
        <v>72</v>
      </c>
      <c r="I143" t="s">
        <v>72</v>
      </c>
      <c r="J143" t="s">
        <v>189</v>
      </c>
      <c r="K143">
        <v>160</v>
      </c>
      <c r="L143">
        <v>40</v>
      </c>
      <c r="M143">
        <v>140</v>
      </c>
      <c r="N143">
        <v>6400</v>
      </c>
      <c r="O143" t="s">
        <v>89</v>
      </c>
      <c r="P143" t="s">
        <v>72</v>
      </c>
      <c r="Q143">
        <v>6400</v>
      </c>
      <c r="R143" t="s">
        <v>72</v>
      </c>
      <c r="S143" t="s">
        <v>73</v>
      </c>
      <c r="T143" t="s">
        <v>74</v>
      </c>
      <c r="U143" t="s">
        <v>190</v>
      </c>
      <c r="V143" t="s">
        <v>479</v>
      </c>
      <c r="W143" t="s">
        <v>76</v>
      </c>
      <c r="X143" t="s">
        <v>77</v>
      </c>
      <c r="Y143">
        <v>2014</v>
      </c>
      <c r="Z143" t="s">
        <v>72</v>
      </c>
      <c r="AA143" t="s">
        <v>72</v>
      </c>
      <c r="AB143" t="s">
        <v>72</v>
      </c>
      <c r="AC143" t="s">
        <v>72</v>
      </c>
      <c r="AD143" t="s">
        <v>72</v>
      </c>
      <c r="AE143">
        <v>0</v>
      </c>
      <c r="AF143" t="s">
        <v>148</v>
      </c>
      <c r="AG143" t="s">
        <v>94</v>
      </c>
      <c r="AH143" t="s">
        <v>95</v>
      </c>
      <c r="AI143" t="s">
        <v>96</v>
      </c>
      <c r="AJ143" t="s">
        <v>97</v>
      </c>
      <c r="AK143">
        <v>0</v>
      </c>
      <c r="AL143">
        <v>0</v>
      </c>
      <c r="AM143">
        <v>0</v>
      </c>
      <c r="AN143" t="s">
        <v>134</v>
      </c>
      <c r="AO143" t="s">
        <v>82</v>
      </c>
      <c r="AP143" t="s">
        <v>114</v>
      </c>
      <c r="AQ143" t="s">
        <v>72</v>
      </c>
      <c r="AR143" t="s">
        <v>72</v>
      </c>
      <c r="AS143" t="s">
        <v>72</v>
      </c>
      <c r="AT143" t="s">
        <v>72</v>
      </c>
      <c r="AU143" t="s">
        <v>72</v>
      </c>
      <c r="AV143" t="s">
        <v>217</v>
      </c>
      <c r="AW143" t="s">
        <v>72</v>
      </c>
      <c r="AX143" t="s">
        <v>218</v>
      </c>
      <c r="AY143">
        <v>58.8860016</v>
      </c>
      <c r="AZ143">
        <v>0</v>
      </c>
      <c r="BA143">
        <v>5.1199998999999998</v>
      </c>
      <c r="BB143">
        <v>502.24899290000002</v>
      </c>
      <c r="BC143">
        <v>-0.185276</v>
      </c>
      <c r="BD143">
        <v>0.213891</v>
      </c>
      <c r="BE143">
        <v>1056.5999756000001</v>
      </c>
      <c r="BF143">
        <v>2.90611</v>
      </c>
      <c r="BG143">
        <v>0.566855</v>
      </c>
      <c r="BH143">
        <v>1.4123699999999999</v>
      </c>
      <c r="BI143">
        <v>0.28832600000000003</v>
      </c>
      <c r="BJ143">
        <v>1275</v>
      </c>
      <c r="BK143">
        <v>6</v>
      </c>
      <c r="BL143">
        <v>0</v>
      </c>
      <c r="BM143">
        <v>8016.2797852000003</v>
      </c>
      <c r="BN143">
        <v>2459.1999512000002</v>
      </c>
      <c r="BO143">
        <v>132.06399540000001</v>
      </c>
      <c r="BP143">
        <v>605</v>
      </c>
      <c r="BQ143">
        <v>4</v>
      </c>
      <c r="BR143">
        <v>3</v>
      </c>
    </row>
    <row r="144" spans="1:70" x14ac:dyDescent="0.25">
      <c r="A144">
        <v>142</v>
      </c>
      <c r="B144">
        <v>12713</v>
      </c>
      <c r="C144">
        <v>88.447834</v>
      </c>
      <c r="D144">
        <v>26.8982619999999</v>
      </c>
      <c r="E144" t="s">
        <v>545</v>
      </c>
      <c r="F144">
        <v>1</v>
      </c>
      <c r="G144" t="s">
        <v>102</v>
      </c>
      <c r="H144" t="s">
        <v>72</v>
      </c>
      <c r="I144" t="s">
        <v>72</v>
      </c>
      <c r="J144" t="s">
        <v>189</v>
      </c>
      <c r="K144">
        <v>80</v>
      </c>
      <c r="L144">
        <v>80</v>
      </c>
      <c r="M144">
        <v>100</v>
      </c>
      <c r="N144">
        <v>6400</v>
      </c>
      <c r="O144" t="s">
        <v>89</v>
      </c>
      <c r="P144" t="s">
        <v>72</v>
      </c>
      <c r="Q144">
        <v>6400</v>
      </c>
      <c r="R144" t="s">
        <v>72</v>
      </c>
      <c r="S144" t="s">
        <v>73</v>
      </c>
      <c r="T144" t="s">
        <v>74</v>
      </c>
      <c r="U144" t="s">
        <v>190</v>
      </c>
      <c r="V144" t="s">
        <v>479</v>
      </c>
      <c r="W144" t="s">
        <v>208</v>
      </c>
      <c r="X144" t="s">
        <v>119</v>
      </c>
      <c r="Y144">
        <v>2004</v>
      </c>
      <c r="Z144" t="s">
        <v>72</v>
      </c>
      <c r="AA144" t="s">
        <v>72</v>
      </c>
      <c r="AB144" t="s">
        <v>72</v>
      </c>
      <c r="AC144" t="s">
        <v>72</v>
      </c>
      <c r="AD144" t="s">
        <v>72</v>
      </c>
      <c r="AE144">
        <v>0</v>
      </c>
      <c r="AF144" t="s">
        <v>79</v>
      </c>
      <c r="AG144" t="s">
        <v>94</v>
      </c>
      <c r="AH144" t="s">
        <v>95</v>
      </c>
      <c r="AI144" t="s">
        <v>80</v>
      </c>
      <c r="AJ144" t="s">
        <v>97</v>
      </c>
      <c r="AK144">
        <v>0</v>
      </c>
      <c r="AL144">
        <v>0</v>
      </c>
      <c r="AM144">
        <v>0</v>
      </c>
      <c r="AN144" t="s">
        <v>181</v>
      </c>
      <c r="AO144" t="s">
        <v>82</v>
      </c>
      <c r="AP144" t="s">
        <v>114</v>
      </c>
      <c r="AQ144" t="s">
        <v>72</v>
      </c>
      <c r="AR144" t="s">
        <v>72</v>
      </c>
      <c r="AS144" t="s">
        <v>72</v>
      </c>
      <c r="AT144" t="s">
        <v>72</v>
      </c>
      <c r="AU144" t="s">
        <v>546</v>
      </c>
      <c r="AV144" t="s">
        <v>72</v>
      </c>
      <c r="AW144" t="s">
        <v>72</v>
      </c>
      <c r="AX144" t="s">
        <v>197</v>
      </c>
      <c r="AY144">
        <v>39.426799799999998</v>
      </c>
      <c r="AZ144">
        <v>52</v>
      </c>
      <c r="BA144">
        <v>-3.2</v>
      </c>
      <c r="BB144">
        <v>477.50201420000002</v>
      </c>
      <c r="BC144">
        <v>-0.20473</v>
      </c>
      <c r="BD144">
        <v>0.23497999999999999</v>
      </c>
      <c r="BE144">
        <v>2328.7600097999998</v>
      </c>
      <c r="BF144">
        <v>4.5132699000000001</v>
      </c>
      <c r="BG144">
        <v>0.476852</v>
      </c>
      <c r="BH144">
        <v>1.4150701000000001</v>
      </c>
      <c r="BI144">
        <v>7.9969299999999993E-2</v>
      </c>
      <c r="BJ144">
        <v>1027.7399902</v>
      </c>
      <c r="BK144">
        <v>4</v>
      </c>
      <c r="BL144">
        <v>0</v>
      </c>
      <c r="BM144">
        <v>8500.4804688000004</v>
      </c>
      <c r="BN144">
        <v>2585.9299316000001</v>
      </c>
      <c r="BO144">
        <v>94.184898399999994</v>
      </c>
      <c r="BP144">
        <v>731</v>
      </c>
      <c r="BQ144">
        <v>4</v>
      </c>
      <c r="BR144">
        <v>3</v>
      </c>
    </row>
    <row r="145" spans="1:70" x14ac:dyDescent="0.25">
      <c r="A145">
        <v>143</v>
      </c>
      <c r="B145">
        <v>10593</v>
      </c>
      <c r="C145">
        <v>88.464269000000002</v>
      </c>
      <c r="D145">
        <v>27.0902689999999</v>
      </c>
      <c r="E145" t="s">
        <v>547</v>
      </c>
      <c r="F145">
        <v>1</v>
      </c>
      <c r="G145" t="s">
        <v>130</v>
      </c>
      <c r="H145" t="s">
        <v>72</v>
      </c>
      <c r="I145" t="s">
        <v>72</v>
      </c>
      <c r="J145" t="s">
        <v>88</v>
      </c>
      <c r="K145">
        <v>80</v>
      </c>
      <c r="L145">
        <v>40</v>
      </c>
      <c r="M145">
        <v>60</v>
      </c>
      <c r="N145">
        <v>3200</v>
      </c>
      <c r="O145" t="s">
        <v>89</v>
      </c>
      <c r="P145" t="s">
        <v>72</v>
      </c>
      <c r="Q145">
        <v>3200</v>
      </c>
      <c r="R145" t="s">
        <v>72</v>
      </c>
      <c r="S145" t="s">
        <v>73</v>
      </c>
      <c r="T145" t="s">
        <v>74</v>
      </c>
      <c r="U145" t="s">
        <v>90</v>
      </c>
      <c r="V145" t="s">
        <v>548</v>
      </c>
      <c r="W145" t="s">
        <v>76</v>
      </c>
      <c r="X145" t="s">
        <v>77</v>
      </c>
      <c r="Y145">
        <v>2007</v>
      </c>
      <c r="Z145" t="s">
        <v>72</v>
      </c>
      <c r="AA145" t="s">
        <v>72</v>
      </c>
      <c r="AB145" t="s">
        <v>72</v>
      </c>
      <c r="AC145" t="s">
        <v>72</v>
      </c>
      <c r="AD145" t="s">
        <v>549</v>
      </c>
      <c r="AE145">
        <v>0</v>
      </c>
      <c r="AF145" t="s">
        <v>79</v>
      </c>
      <c r="AG145" t="s">
        <v>133</v>
      </c>
      <c r="AH145" t="s">
        <v>95</v>
      </c>
      <c r="AI145" t="s">
        <v>96</v>
      </c>
      <c r="AJ145" t="s">
        <v>97</v>
      </c>
      <c r="AK145">
        <v>0</v>
      </c>
      <c r="AL145">
        <v>0</v>
      </c>
      <c r="AM145">
        <v>0</v>
      </c>
      <c r="AN145" t="s">
        <v>98</v>
      </c>
      <c r="AO145" t="s">
        <v>82</v>
      </c>
      <c r="AP145" t="s">
        <v>99</v>
      </c>
      <c r="AQ145" t="s">
        <v>72</v>
      </c>
      <c r="AR145" t="s">
        <v>72</v>
      </c>
      <c r="AS145" t="s">
        <v>72</v>
      </c>
      <c r="AT145" t="s">
        <v>550</v>
      </c>
      <c r="AU145" t="s">
        <v>72</v>
      </c>
      <c r="AV145" t="s">
        <v>551</v>
      </c>
      <c r="AW145" t="s">
        <v>72</v>
      </c>
      <c r="AX145" t="s">
        <v>432</v>
      </c>
      <c r="AY145">
        <v>23.046899799999998</v>
      </c>
      <c r="AZ145">
        <v>231</v>
      </c>
      <c r="BA145">
        <v>0</v>
      </c>
      <c r="BB145">
        <v>489.44198610000001</v>
      </c>
      <c r="BC145">
        <v>-0.135855</v>
      </c>
      <c r="BD145">
        <v>0.19192100000000001</v>
      </c>
      <c r="BE145">
        <v>315.48599239999999</v>
      </c>
      <c r="BF145">
        <v>4.4789700999999997</v>
      </c>
      <c r="BG145">
        <v>0.43650800000000001</v>
      </c>
      <c r="BH145">
        <v>-0.158634</v>
      </c>
      <c r="BI145">
        <v>1.1374200999999999</v>
      </c>
      <c r="BJ145">
        <v>397.256012</v>
      </c>
      <c r="BK145">
        <v>4</v>
      </c>
      <c r="BL145">
        <v>0</v>
      </c>
      <c r="BM145">
        <v>3267.5</v>
      </c>
      <c r="BN145">
        <v>3187.8898926000002</v>
      </c>
      <c r="BO145">
        <v>293.55200200000002</v>
      </c>
      <c r="BP145">
        <v>413</v>
      </c>
      <c r="BQ145">
        <v>6</v>
      </c>
      <c r="BR145">
        <v>3</v>
      </c>
    </row>
    <row r="146" spans="1:70" x14ac:dyDescent="0.25">
      <c r="A146">
        <v>144</v>
      </c>
      <c r="B146">
        <v>10336</v>
      </c>
      <c r="C146">
        <v>88.464121000000006</v>
      </c>
      <c r="D146">
        <v>27.0902859999999</v>
      </c>
      <c r="E146" t="s">
        <v>552</v>
      </c>
      <c r="F146">
        <v>1</v>
      </c>
      <c r="G146" t="s">
        <v>130</v>
      </c>
      <c r="H146" t="s">
        <v>72</v>
      </c>
      <c r="I146" t="s">
        <v>72</v>
      </c>
      <c r="J146" t="s">
        <v>88</v>
      </c>
      <c r="K146">
        <v>8</v>
      </c>
      <c r="L146">
        <v>6</v>
      </c>
      <c r="M146">
        <v>5</v>
      </c>
      <c r="N146">
        <v>48</v>
      </c>
      <c r="O146" t="s">
        <v>89</v>
      </c>
      <c r="P146" t="s">
        <v>72</v>
      </c>
      <c r="Q146">
        <v>48</v>
      </c>
      <c r="R146" t="s">
        <v>72</v>
      </c>
      <c r="S146" t="s">
        <v>73</v>
      </c>
      <c r="T146" t="s">
        <v>74</v>
      </c>
      <c r="U146" t="s">
        <v>90</v>
      </c>
      <c r="V146" t="s">
        <v>553</v>
      </c>
      <c r="W146" t="s">
        <v>76</v>
      </c>
      <c r="X146" t="s">
        <v>77</v>
      </c>
      <c r="Y146">
        <v>2016</v>
      </c>
      <c r="Z146" t="s">
        <v>72</v>
      </c>
      <c r="AA146" t="s">
        <v>72</v>
      </c>
      <c r="AB146" t="s">
        <v>72</v>
      </c>
      <c r="AC146" t="s">
        <v>72</v>
      </c>
      <c r="AD146" t="s">
        <v>554</v>
      </c>
      <c r="AE146">
        <v>0</v>
      </c>
      <c r="AF146" t="s">
        <v>79</v>
      </c>
      <c r="AG146" t="s">
        <v>133</v>
      </c>
      <c r="AH146" t="s">
        <v>95</v>
      </c>
      <c r="AI146" t="s">
        <v>96</v>
      </c>
      <c r="AJ146" t="s">
        <v>97</v>
      </c>
      <c r="AK146">
        <v>0</v>
      </c>
      <c r="AL146">
        <v>0</v>
      </c>
      <c r="AM146">
        <v>0</v>
      </c>
      <c r="AN146" t="s">
        <v>72</v>
      </c>
      <c r="AO146" t="s">
        <v>72</v>
      </c>
      <c r="AP146" t="s">
        <v>72</v>
      </c>
      <c r="AQ146" t="s">
        <v>72</v>
      </c>
      <c r="AR146" t="s">
        <v>72</v>
      </c>
      <c r="AS146" t="s">
        <v>72</v>
      </c>
      <c r="AT146" t="s">
        <v>72</v>
      </c>
      <c r="AU146" t="s">
        <v>72</v>
      </c>
      <c r="AV146" t="s">
        <v>72</v>
      </c>
      <c r="AW146" t="s">
        <v>72</v>
      </c>
      <c r="AX146" t="s">
        <v>72</v>
      </c>
      <c r="AY146">
        <v>21.727100400000001</v>
      </c>
      <c r="AZ146">
        <v>226</v>
      </c>
      <c r="BA146">
        <v>-0.64</v>
      </c>
      <c r="BB146">
        <v>489.44198610000001</v>
      </c>
      <c r="BC146">
        <v>-0.146398</v>
      </c>
      <c r="BD146">
        <v>0.20086599999999999</v>
      </c>
      <c r="BE146">
        <v>305.16400149999998</v>
      </c>
      <c r="BF146">
        <v>4.8320799000000001</v>
      </c>
      <c r="BG146">
        <v>0.44444499999999998</v>
      </c>
      <c r="BH146">
        <v>0.181397</v>
      </c>
      <c r="BI146">
        <v>1.1393800000000001</v>
      </c>
      <c r="BJ146">
        <v>385.8840027</v>
      </c>
      <c r="BK146">
        <v>4</v>
      </c>
      <c r="BL146">
        <v>0</v>
      </c>
      <c r="BM146">
        <v>3255.5</v>
      </c>
      <c r="BN146">
        <v>3200.3898926000002</v>
      </c>
      <c r="BO146">
        <v>287.52600100000001</v>
      </c>
      <c r="BP146">
        <v>408</v>
      </c>
      <c r="BQ146">
        <v>6</v>
      </c>
      <c r="BR146">
        <v>3</v>
      </c>
    </row>
    <row r="147" spans="1:70" x14ac:dyDescent="0.25">
      <c r="A147">
        <v>145</v>
      </c>
      <c r="B147">
        <v>10594</v>
      </c>
      <c r="C147">
        <v>88.465166999999894</v>
      </c>
      <c r="D147">
        <v>27.091588000000002</v>
      </c>
      <c r="E147" t="s">
        <v>555</v>
      </c>
      <c r="F147">
        <v>1</v>
      </c>
      <c r="G147" t="s">
        <v>130</v>
      </c>
      <c r="H147" t="s">
        <v>72</v>
      </c>
      <c r="I147" t="s">
        <v>72</v>
      </c>
      <c r="J147" t="s">
        <v>88</v>
      </c>
      <c r="K147">
        <v>35</v>
      </c>
      <c r="L147">
        <v>15</v>
      </c>
      <c r="M147">
        <v>25</v>
      </c>
      <c r="N147">
        <v>525</v>
      </c>
      <c r="O147" t="s">
        <v>89</v>
      </c>
      <c r="P147" t="s">
        <v>72</v>
      </c>
      <c r="Q147">
        <v>525</v>
      </c>
      <c r="R147" t="s">
        <v>72</v>
      </c>
      <c r="S147" t="s">
        <v>73</v>
      </c>
      <c r="T147" t="s">
        <v>74</v>
      </c>
      <c r="U147" t="s">
        <v>90</v>
      </c>
      <c r="V147" t="s">
        <v>556</v>
      </c>
      <c r="W147" t="s">
        <v>76</v>
      </c>
      <c r="X147" t="s">
        <v>77</v>
      </c>
      <c r="Y147">
        <v>2007</v>
      </c>
      <c r="Z147" t="s">
        <v>72</v>
      </c>
      <c r="AA147" t="s">
        <v>72</v>
      </c>
      <c r="AB147" t="s">
        <v>72</v>
      </c>
      <c r="AC147" t="s">
        <v>72</v>
      </c>
      <c r="AD147" t="s">
        <v>557</v>
      </c>
      <c r="AE147">
        <v>0</v>
      </c>
      <c r="AF147" t="s">
        <v>79</v>
      </c>
      <c r="AG147" t="s">
        <v>94</v>
      </c>
      <c r="AH147" t="s">
        <v>95</v>
      </c>
      <c r="AI147" t="s">
        <v>96</v>
      </c>
      <c r="AJ147" t="s">
        <v>97</v>
      </c>
      <c r="AK147">
        <v>0</v>
      </c>
      <c r="AL147">
        <v>0</v>
      </c>
      <c r="AM147">
        <v>0</v>
      </c>
      <c r="AN147" t="s">
        <v>98</v>
      </c>
      <c r="AO147" t="s">
        <v>82</v>
      </c>
      <c r="AP147" t="s">
        <v>99</v>
      </c>
      <c r="AQ147" t="s">
        <v>72</v>
      </c>
      <c r="AR147" t="s">
        <v>72</v>
      </c>
      <c r="AS147" t="s">
        <v>72</v>
      </c>
      <c r="AT147" t="s">
        <v>558</v>
      </c>
      <c r="AU147" t="s">
        <v>72</v>
      </c>
      <c r="AV147" t="s">
        <v>559</v>
      </c>
      <c r="AW147" t="s">
        <v>72</v>
      </c>
      <c r="AX147" t="s">
        <v>482</v>
      </c>
      <c r="AY147">
        <v>38.395599400000002</v>
      </c>
      <c r="AZ147">
        <v>233</v>
      </c>
      <c r="BA147">
        <v>0.64</v>
      </c>
      <c r="BB147">
        <v>469.98800660000001</v>
      </c>
      <c r="BC147">
        <v>-0.13870099999999999</v>
      </c>
      <c r="BD147">
        <v>0.19563900000000001</v>
      </c>
      <c r="BE147">
        <v>269.25799560000002</v>
      </c>
      <c r="BF147">
        <v>5.8938297999999998</v>
      </c>
      <c r="BG147">
        <v>0.50724599999999997</v>
      </c>
      <c r="BH147">
        <v>2.8597399999999999</v>
      </c>
      <c r="BI147">
        <v>1.10782</v>
      </c>
      <c r="BJ147">
        <v>301.0400085</v>
      </c>
      <c r="BK147">
        <v>7</v>
      </c>
      <c r="BL147">
        <v>0</v>
      </c>
      <c r="BM147">
        <v>3395.5200195000002</v>
      </c>
      <c r="BN147">
        <v>3101.6101073999998</v>
      </c>
      <c r="BO147">
        <v>349.82400510000002</v>
      </c>
      <c r="BP147">
        <v>410</v>
      </c>
      <c r="BQ147">
        <v>6</v>
      </c>
      <c r="BR147">
        <v>3</v>
      </c>
    </row>
    <row r="148" spans="1:70" x14ac:dyDescent="0.25">
      <c r="A148">
        <v>146</v>
      </c>
      <c r="B148">
        <v>8755</v>
      </c>
      <c r="C148">
        <v>88.457443999999896</v>
      </c>
      <c r="D148">
        <v>27.093278000000002</v>
      </c>
      <c r="E148" t="s">
        <v>560</v>
      </c>
      <c r="F148">
        <v>2.5</v>
      </c>
      <c r="G148" t="s">
        <v>225</v>
      </c>
      <c r="H148" t="s">
        <v>561</v>
      </c>
      <c r="I148" t="s">
        <v>72</v>
      </c>
      <c r="J148" t="s">
        <v>562</v>
      </c>
      <c r="K148">
        <v>30</v>
      </c>
      <c r="L148">
        <v>100</v>
      </c>
      <c r="M148">
        <v>25</v>
      </c>
      <c r="N148">
        <v>3000</v>
      </c>
      <c r="O148" t="s">
        <v>89</v>
      </c>
      <c r="P148" t="s">
        <v>72</v>
      </c>
      <c r="Q148">
        <v>5000</v>
      </c>
      <c r="R148" t="s">
        <v>72</v>
      </c>
      <c r="S148" t="s">
        <v>563</v>
      </c>
      <c r="T148" t="s">
        <v>564</v>
      </c>
      <c r="U148" t="s">
        <v>90</v>
      </c>
      <c r="V148" t="s">
        <v>72</v>
      </c>
      <c r="W148" t="s">
        <v>76</v>
      </c>
      <c r="X148" t="s">
        <v>77</v>
      </c>
      <c r="Y148">
        <v>0</v>
      </c>
      <c r="Z148" t="s">
        <v>72</v>
      </c>
      <c r="AA148" t="s">
        <v>72</v>
      </c>
      <c r="AB148" t="s">
        <v>72</v>
      </c>
      <c r="AC148" t="s">
        <v>72</v>
      </c>
      <c r="AD148" t="s">
        <v>565</v>
      </c>
      <c r="AE148">
        <v>20</v>
      </c>
      <c r="AF148" t="s">
        <v>79</v>
      </c>
      <c r="AG148" t="s">
        <v>94</v>
      </c>
      <c r="AH148" t="s">
        <v>95</v>
      </c>
      <c r="AI148" t="s">
        <v>150</v>
      </c>
      <c r="AJ148" t="s">
        <v>97</v>
      </c>
      <c r="AK148">
        <v>0</v>
      </c>
      <c r="AL148">
        <v>0</v>
      </c>
      <c r="AM148">
        <v>0</v>
      </c>
      <c r="AN148" t="s">
        <v>233</v>
      </c>
      <c r="AO148" t="s">
        <v>82</v>
      </c>
      <c r="AP148" t="s">
        <v>566</v>
      </c>
      <c r="AQ148" t="s">
        <v>72</v>
      </c>
      <c r="AR148" t="s">
        <v>72</v>
      </c>
      <c r="AS148" t="s">
        <v>72</v>
      </c>
      <c r="AT148" t="s">
        <v>72</v>
      </c>
      <c r="AU148" t="s">
        <v>72</v>
      </c>
      <c r="AV148" t="s">
        <v>567</v>
      </c>
      <c r="AW148" t="s">
        <v>72</v>
      </c>
      <c r="AX148" t="s">
        <v>568</v>
      </c>
      <c r="AY148">
        <v>24.391000699999999</v>
      </c>
      <c r="AZ148">
        <v>89</v>
      </c>
      <c r="BA148">
        <v>-1.28</v>
      </c>
      <c r="BB148">
        <v>462.3370056</v>
      </c>
      <c r="BC148">
        <v>-0.148007</v>
      </c>
      <c r="BD148">
        <v>0.17181299999999999</v>
      </c>
      <c r="BE148">
        <v>134.62899780000001</v>
      </c>
      <c r="BF148">
        <v>4.0097899000000004</v>
      </c>
      <c r="BG148">
        <v>0.465279</v>
      </c>
      <c r="BH148">
        <v>-0.78770899999999999</v>
      </c>
      <c r="BI148">
        <v>1.1796</v>
      </c>
      <c r="BJ148">
        <v>158.11399840000001</v>
      </c>
      <c r="BK148">
        <v>4</v>
      </c>
      <c r="BL148">
        <v>0</v>
      </c>
      <c r="BM148">
        <v>2755.9599609000002</v>
      </c>
      <c r="BN148">
        <v>3872.2800293</v>
      </c>
      <c r="BO148">
        <v>131.42399599999999</v>
      </c>
      <c r="BP148">
        <v>257</v>
      </c>
      <c r="BQ148">
        <v>6</v>
      </c>
      <c r="BR148">
        <v>7</v>
      </c>
    </row>
    <row r="149" spans="1:70" x14ac:dyDescent="0.25">
      <c r="A149">
        <v>147</v>
      </c>
      <c r="B149">
        <v>213</v>
      </c>
      <c r="C149">
        <v>88.465000000000003</v>
      </c>
      <c r="D149">
        <v>27.094000000000001</v>
      </c>
      <c r="E149" t="s">
        <v>569</v>
      </c>
      <c r="F149">
        <v>0.5</v>
      </c>
      <c r="G149" t="s">
        <v>570</v>
      </c>
      <c r="H149" t="s">
        <v>571</v>
      </c>
      <c r="I149" t="s">
        <v>72</v>
      </c>
      <c r="J149" t="s">
        <v>72</v>
      </c>
      <c r="K149">
        <v>15</v>
      </c>
      <c r="L149">
        <v>20</v>
      </c>
      <c r="M149">
        <v>15</v>
      </c>
      <c r="N149">
        <v>0</v>
      </c>
      <c r="O149" t="s">
        <v>72</v>
      </c>
      <c r="P149" t="s">
        <v>140</v>
      </c>
      <c r="Q149">
        <v>0</v>
      </c>
      <c r="R149" t="s">
        <v>72</v>
      </c>
      <c r="S149" t="s">
        <v>73</v>
      </c>
      <c r="T149" t="s">
        <v>74</v>
      </c>
      <c r="U149" t="s">
        <v>572</v>
      </c>
      <c r="V149" t="s">
        <v>72</v>
      </c>
      <c r="W149" t="s">
        <v>76</v>
      </c>
      <c r="X149" t="s">
        <v>77</v>
      </c>
      <c r="Y149">
        <v>0</v>
      </c>
      <c r="Z149" t="s">
        <v>72</v>
      </c>
      <c r="AA149" t="s">
        <v>72</v>
      </c>
      <c r="AB149" t="s">
        <v>573</v>
      </c>
      <c r="AC149" t="s">
        <v>72</v>
      </c>
      <c r="AD149" t="s">
        <v>574</v>
      </c>
      <c r="AE149">
        <v>0</v>
      </c>
      <c r="AF149" t="s">
        <v>148</v>
      </c>
      <c r="AG149" t="s">
        <v>94</v>
      </c>
      <c r="AH149" t="s">
        <v>72</v>
      </c>
      <c r="AI149" t="s">
        <v>96</v>
      </c>
      <c r="AJ149" t="s">
        <v>97</v>
      </c>
      <c r="AK149">
        <v>0</v>
      </c>
      <c r="AL149">
        <v>0</v>
      </c>
      <c r="AM149">
        <v>0</v>
      </c>
      <c r="AN149" t="s">
        <v>72</v>
      </c>
      <c r="AO149" t="s">
        <v>72</v>
      </c>
      <c r="AP149" t="s">
        <v>72</v>
      </c>
      <c r="AQ149" t="s">
        <v>72</v>
      </c>
      <c r="AR149" t="s">
        <v>72</v>
      </c>
      <c r="AS149" t="s">
        <v>72</v>
      </c>
      <c r="AT149" t="s">
        <v>72</v>
      </c>
      <c r="AU149" t="s">
        <v>72</v>
      </c>
      <c r="AV149" t="s">
        <v>575</v>
      </c>
      <c r="AW149" t="s">
        <v>72</v>
      </c>
      <c r="AX149" t="s">
        <v>72</v>
      </c>
      <c r="AY149">
        <v>39.426799799999998</v>
      </c>
      <c r="AZ149">
        <v>225</v>
      </c>
      <c r="BA149">
        <v>3.2</v>
      </c>
      <c r="BB149">
        <v>472.34799190000001</v>
      </c>
      <c r="BC149">
        <v>-0.120931</v>
      </c>
      <c r="BD149">
        <v>0.15196499999999999</v>
      </c>
      <c r="BE149">
        <v>50</v>
      </c>
      <c r="BF149">
        <v>4.1078000000000001</v>
      </c>
      <c r="BG149">
        <v>0.50264500000000001</v>
      </c>
      <c r="BH149">
        <v>0.90437999999999996</v>
      </c>
      <c r="BI149">
        <v>1.0703501</v>
      </c>
      <c r="BJ149">
        <v>51.538799300000001</v>
      </c>
      <c r="BK149">
        <v>7</v>
      </c>
      <c r="BL149">
        <v>0</v>
      </c>
      <c r="BM149">
        <v>3475.0200195000002</v>
      </c>
      <c r="BN149">
        <v>3133.5400390999998</v>
      </c>
      <c r="BO149">
        <v>355.81500240000003</v>
      </c>
      <c r="BP149">
        <v>266</v>
      </c>
      <c r="BQ149">
        <v>6</v>
      </c>
      <c r="BR149">
        <v>3</v>
      </c>
    </row>
    <row r="150" spans="1:70" x14ac:dyDescent="0.25">
      <c r="A150">
        <v>148</v>
      </c>
      <c r="B150">
        <v>8982</v>
      </c>
      <c r="C150">
        <v>88.433374999999899</v>
      </c>
      <c r="D150">
        <v>27.096444000000002</v>
      </c>
      <c r="E150" t="s">
        <v>576</v>
      </c>
      <c r="F150">
        <v>2.5</v>
      </c>
      <c r="G150" t="s">
        <v>225</v>
      </c>
      <c r="H150" t="s">
        <v>577</v>
      </c>
      <c r="I150" t="s">
        <v>72</v>
      </c>
      <c r="J150" t="s">
        <v>562</v>
      </c>
      <c r="K150">
        <v>10</v>
      </c>
      <c r="L150">
        <v>30</v>
      </c>
      <c r="M150">
        <v>8</v>
      </c>
      <c r="N150">
        <v>300</v>
      </c>
      <c r="O150" t="s">
        <v>89</v>
      </c>
      <c r="P150" t="s">
        <v>72</v>
      </c>
      <c r="Q150">
        <v>480</v>
      </c>
      <c r="R150" t="s">
        <v>72</v>
      </c>
      <c r="S150" t="s">
        <v>563</v>
      </c>
      <c r="T150" t="s">
        <v>564</v>
      </c>
      <c r="U150" t="s">
        <v>90</v>
      </c>
      <c r="V150" t="s">
        <v>72</v>
      </c>
      <c r="W150" t="s">
        <v>76</v>
      </c>
      <c r="X150" t="s">
        <v>77</v>
      </c>
      <c r="Y150">
        <v>0</v>
      </c>
      <c r="Z150" t="s">
        <v>72</v>
      </c>
      <c r="AA150" t="s">
        <v>72</v>
      </c>
      <c r="AB150" t="s">
        <v>72</v>
      </c>
      <c r="AC150" t="s">
        <v>72</v>
      </c>
      <c r="AD150" t="s">
        <v>565</v>
      </c>
      <c r="AE150">
        <v>0</v>
      </c>
      <c r="AF150" t="s">
        <v>79</v>
      </c>
      <c r="AG150" t="s">
        <v>94</v>
      </c>
      <c r="AH150" t="s">
        <v>95</v>
      </c>
      <c r="AI150" t="s">
        <v>150</v>
      </c>
      <c r="AJ150" t="s">
        <v>97</v>
      </c>
      <c r="AK150">
        <v>0</v>
      </c>
      <c r="AL150">
        <v>0</v>
      </c>
      <c r="AM150">
        <v>0</v>
      </c>
      <c r="AN150" t="s">
        <v>578</v>
      </c>
      <c r="AO150" t="s">
        <v>107</v>
      </c>
      <c r="AP150" t="s">
        <v>386</v>
      </c>
      <c r="AQ150" t="s">
        <v>72</v>
      </c>
      <c r="AR150" t="s">
        <v>72</v>
      </c>
      <c r="AS150" t="s">
        <v>72</v>
      </c>
      <c r="AT150" t="s">
        <v>72</v>
      </c>
      <c r="AU150" t="s">
        <v>72</v>
      </c>
      <c r="AV150" t="s">
        <v>567</v>
      </c>
      <c r="AW150" t="s">
        <v>72</v>
      </c>
      <c r="AX150" t="s">
        <v>568</v>
      </c>
      <c r="AY150">
        <v>30.370399500000001</v>
      </c>
      <c r="AZ150">
        <v>69</v>
      </c>
      <c r="BA150">
        <v>1.28</v>
      </c>
      <c r="BB150">
        <v>474.23800660000001</v>
      </c>
      <c r="BC150">
        <v>-0.181946</v>
      </c>
      <c r="BD150">
        <v>0.206623</v>
      </c>
      <c r="BE150">
        <v>955.98400879999997</v>
      </c>
      <c r="BF150">
        <v>7.4546099000000003</v>
      </c>
      <c r="BG150">
        <v>0.54970799999999997</v>
      </c>
      <c r="BH150">
        <v>3.8493099000000002</v>
      </c>
      <c r="BI150">
        <v>0.25514700000000001</v>
      </c>
      <c r="BJ150">
        <v>1113.0600586</v>
      </c>
      <c r="BK150">
        <v>4</v>
      </c>
      <c r="BL150">
        <v>12.1316004</v>
      </c>
      <c r="BM150">
        <v>1506.0799560999999</v>
      </c>
      <c r="BN150">
        <v>6291.1801758000001</v>
      </c>
      <c r="BO150">
        <v>154.746994</v>
      </c>
      <c r="BP150">
        <v>849</v>
      </c>
      <c r="BQ150">
        <v>6</v>
      </c>
      <c r="BR150">
        <v>7</v>
      </c>
    </row>
    <row r="151" spans="1:70" x14ac:dyDescent="0.25">
      <c r="A151">
        <v>149</v>
      </c>
      <c r="B151">
        <v>8754</v>
      </c>
      <c r="C151">
        <v>88.458667000000005</v>
      </c>
      <c r="D151">
        <v>27.102</v>
      </c>
      <c r="E151" t="s">
        <v>579</v>
      </c>
      <c r="F151">
        <v>2.5</v>
      </c>
      <c r="G151" t="s">
        <v>580</v>
      </c>
      <c r="H151" t="s">
        <v>581</v>
      </c>
      <c r="I151" t="s">
        <v>72</v>
      </c>
      <c r="J151" t="s">
        <v>562</v>
      </c>
      <c r="K151">
        <v>20</v>
      </c>
      <c r="L151">
        <v>300</v>
      </c>
      <c r="M151">
        <v>18</v>
      </c>
      <c r="N151">
        <v>6000</v>
      </c>
      <c r="O151" t="s">
        <v>89</v>
      </c>
      <c r="P151" t="s">
        <v>72</v>
      </c>
      <c r="Q151">
        <v>10800</v>
      </c>
      <c r="R151" t="s">
        <v>72</v>
      </c>
      <c r="S151" t="s">
        <v>563</v>
      </c>
      <c r="T151" t="s">
        <v>564</v>
      </c>
      <c r="U151" t="s">
        <v>90</v>
      </c>
      <c r="V151" t="s">
        <v>72</v>
      </c>
      <c r="W151" t="s">
        <v>76</v>
      </c>
      <c r="X151" t="s">
        <v>119</v>
      </c>
      <c r="Y151">
        <v>0</v>
      </c>
      <c r="Z151" t="s">
        <v>72</v>
      </c>
      <c r="AA151" t="s">
        <v>72</v>
      </c>
      <c r="AB151" t="s">
        <v>72</v>
      </c>
      <c r="AC151" t="s">
        <v>72</v>
      </c>
      <c r="AD151" t="s">
        <v>565</v>
      </c>
      <c r="AE151">
        <v>30</v>
      </c>
      <c r="AF151" t="s">
        <v>79</v>
      </c>
      <c r="AG151" t="s">
        <v>94</v>
      </c>
      <c r="AH151" t="s">
        <v>95</v>
      </c>
      <c r="AI151" t="s">
        <v>150</v>
      </c>
      <c r="AJ151" t="s">
        <v>97</v>
      </c>
      <c r="AK151">
        <v>0</v>
      </c>
      <c r="AL151">
        <v>0</v>
      </c>
      <c r="AM151">
        <v>0</v>
      </c>
      <c r="AN151" t="s">
        <v>233</v>
      </c>
      <c r="AO151" t="s">
        <v>82</v>
      </c>
      <c r="AP151" t="s">
        <v>99</v>
      </c>
      <c r="AQ151" t="s">
        <v>72</v>
      </c>
      <c r="AR151" t="s">
        <v>72</v>
      </c>
      <c r="AS151" t="s">
        <v>72</v>
      </c>
      <c r="AT151" t="s">
        <v>72</v>
      </c>
      <c r="AU151" t="s">
        <v>72</v>
      </c>
      <c r="AV151" t="s">
        <v>567</v>
      </c>
      <c r="AW151" t="s">
        <v>72</v>
      </c>
      <c r="AX151" t="s">
        <v>568</v>
      </c>
      <c r="AY151">
        <v>25.718399000000002</v>
      </c>
      <c r="AZ151">
        <v>84</v>
      </c>
      <c r="BA151">
        <v>0.64</v>
      </c>
      <c r="BB151">
        <v>471.38699339999999</v>
      </c>
      <c r="BC151">
        <v>-0.14180699999999999</v>
      </c>
      <c r="BD151">
        <v>0.17068700000000001</v>
      </c>
      <c r="BE151">
        <v>88.3883972</v>
      </c>
      <c r="BF151">
        <v>6.0990200000000003</v>
      </c>
      <c r="BG151">
        <v>0.52287600000000001</v>
      </c>
      <c r="BH151">
        <v>2.0346601</v>
      </c>
      <c r="BI151">
        <v>1.06873</v>
      </c>
      <c r="BJ151">
        <v>515.38800049999998</v>
      </c>
      <c r="BK151">
        <v>4</v>
      </c>
      <c r="BL151">
        <v>0</v>
      </c>
      <c r="BM151">
        <v>3386.8300780999998</v>
      </c>
      <c r="BN151">
        <v>3948.9099120999999</v>
      </c>
      <c r="BO151">
        <v>131.6340027</v>
      </c>
      <c r="BP151">
        <v>395</v>
      </c>
      <c r="BQ151">
        <v>6</v>
      </c>
      <c r="BR151">
        <v>7</v>
      </c>
    </row>
    <row r="152" spans="1:70" x14ac:dyDescent="0.25">
      <c r="A152">
        <v>150</v>
      </c>
      <c r="B152">
        <v>247</v>
      </c>
      <c r="C152">
        <v>88.456000000000003</v>
      </c>
      <c r="D152">
        <v>27.0719999999999</v>
      </c>
      <c r="E152" t="s">
        <v>582</v>
      </c>
      <c r="F152">
        <v>3</v>
      </c>
      <c r="G152" t="s">
        <v>72</v>
      </c>
      <c r="H152" t="s">
        <v>72</v>
      </c>
      <c r="I152" t="s">
        <v>72</v>
      </c>
      <c r="J152" t="s">
        <v>72</v>
      </c>
      <c r="K152">
        <v>45</v>
      </c>
      <c r="L152">
        <v>35</v>
      </c>
      <c r="M152">
        <v>45</v>
      </c>
      <c r="N152">
        <v>0</v>
      </c>
      <c r="O152" t="s">
        <v>72</v>
      </c>
      <c r="P152" t="s">
        <v>72</v>
      </c>
      <c r="Q152">
        <v>0</v>
      </c>
      <c r="R152" t="s">
        <v>72</v>
      </c>
      <c r="S152" t="s">
        <v>73</v>
      </c>
      <c r="T152" t="s">
        <v>74</v>
      </c>
      <c r="U152" t="s">
        <v>90</v>
      </c>
      <c r="V152" t="s">
        <v>72</v>
      </c>
      <c r="W152" t="s">
        <v>92</v>
      </c>
      <c r="X152" t="s">
        <v>77</v>
      </c>
      <c r="Y152">
        <v>0</v>
      </c>
      <c r="Z152" t="s">
        <v>72</v>
      </c>
      <c r="AA152" t="s">
        <v>72</v>
      </c>
      <c r="AB152" t="s">
        <v>72</v>
      </c>
      <c r="AC152" t="s">
        <v>72</v>
      </c>
      <c r="AD152" t="s">
        <v>72</v>
      </c>
      <c r="AE152">
        <v>0</v>
      </c>
      <c r="AF152" t="s">
        <v>79</v>
      </c>
      <c r="AG152" t="s">
        <v>94</v>
      </c>
      <c r="AH152" t="s">
        <v>72</v>
      </c>
      <c r="AI152" t="s">
        <v>96</v>
      </c>
      <c r="AJ152" t="s">
        <v>72</v>
      </c>
      <c r="AK152">
        <v>0</v>
      </c>
      <c r="AL152">
        <v>0</v>
      </c>
      <c r="AM152">
        <v>0</v>
      </c>
      <c r="AN152" t="s">
        <v>72</v>
      </c>
      <c r="AO152" t="s">
        <v>72</v>
      </c>
      <c r="AP152" t="s">
        <v>72</v>
      </c>
      <c r="AQ152" t="s">
        <v>72</v>
      </c>
      <c r="AR152" t="s">
        <v>72</v>
      </c>
      <c r="AS152" t="s">
        <v>72</v>
      </c>
      <c r="AT152" t="s">
        <v>583</v>
      </c>
      <c r="AU152" t="s">
        <v>72</v>
      </c>
      <c r="AV152" t="s">
        <v>72</v>
      </c>
      <c r="AW152" t="s">
        <v>72</v>
      </c>
      <c r="AX152" t="s">
        <v>584</v>
      </c>
      <c r="AY152">
        <v>16.699199700000001</v>
      </c>
      <c r="AZ152">
        <v>165</v>
      </c>
      <c r="BA152">
        <v>0</v>
      </c>
      <c r="BB152">
        <v>537.44799799999998</v>
      </c>
      <c r="BC152">
        <v>-0.162158</v>
      </c>
      <c r="BD152">
        <v>0.187026</v>
      </c>
      <c r="BE152">
        <v>253.1060028</v>
      </c>
      <c r="BF152">
        <v>5.5214600999999996</v>
      </c>
      <c r="BG152">
        <v>0.52525200000000005</v>
      </c>
      <c r="BH152">
        <v>0.408993</v>
      </c>
      <c r="BI152">
        <v>0.27745700000000001</v>
      </c>
      <c r="BJ152">
        <v>473.18701170000003</v>
      </c>
      <c r="BK152">
        <v>4</v>
      </c>
      <c r="BL152">
        <v>0</v>
      </c>
      <c r="BM152">
        <v>2594.1298827999999</v>
      </c>
      <c r="BN152">
        <v>4500.8701172000001</v>
      </c>
      <c r="BO152">
        <v>53.130100300000002</v>
      </c>
      <c r="BP152">
        <v>961</v>
      </c>
      <c r="BQ152">
        <v>6</v>
      </c>
      <c r="BR152">
        <v>7</v>
      </c>
    </row>
    <row r="153" spans="1:70" x14ac:dyDescent="0.25">
      <c r="A153">
        <v>151</v>
      </c>
      <c r="B153">
        <v>10634</v>
      </c>
      <c r="C153">
        <v>88.456000000000003</v>
      </c>
      <c r="D153">
        <v>27.0719999999999</v>
      </c>
      <c r="E153" t="s">
        <v>585</v>
      </c>
      <c r="F153">
        <v>3</v>
      </c>
      <c r="G153" t="s">
        <v>87</v>
      </c>
      <c r="H153" t="s">
        <v>72</v>
      </c>
      <c r="I153" t="s">
        <v>72</v>
      </c>
      <c r="J153" t="s">
        <v>88</v>
      </c>
      <c r="K153">
        <v>50</v>
      </c>
      <c r="L153">
        <v>35</v>
      </c>
      <c r="M153">
        <v>45</v>
      </c>
      <c r="N153">
        <v>1750</v>
      </c>
      <c r="O153" t="s">
        <v>89</v>
      </c>
      <c r="P153" t="s">
        <v>72</v>
      </c>
      <c r="Q153">
        <v>5250</v>
      </c>
      <c r="R153" t="s">
        <v>72</v>
      </c>
      <c r="S153" t="s">
        <v>73</v>
      </c>
      <c r="T153" t="s">
        <v>74</v>
      </c>
      <c r="U153" t="s">
        <v>90</v>
      </c>
      <c r="V153" t="s">
        <v>586</v>
      </c>
      <c r="W153" t="s">
        <v>92</v>
      </c>
      <c r="X153" t="s">
        <v>77</v>
      </c>
      <c r="Y153">
        <v>2013</v>
      </c>
      <c r="Z153" t="s">
        <v>72</v>
      </c>
      <c r="AA153" t="s">
        <v>72</v>
      </c>
      <c r="AB153" t="s">
        <v>72</v>
      </c>
      <c r="AC153" t="s">
        <v>72</v>
      </c>
      <c r="AD153" t="s">
        <v>72</v>
      </c>
      <c r="AE153">
        <v>0</v>
      </c>
      <c r="AF153" t="s">
        <v>79</v>
      </c>
      <c r="AG153" t="s">
        <v>94</v>
      </c>
      <c r="AH153" t="s">
        <v>95</v>
      </c>
      <c r="AI153" t="s">
        <v>96</v>
      </c>
      <c r="AJ153" t="s">
        <v>113</v>
      </c>
      <c r="AK153">
        <v>0</v>
      </c>
      <c r="AL153">
        <v>0</v>
      </c>
      <c r="AM153">
        <v>0</v>
      </c>
      <c r="AN153" t="s">
        <v>98</v>
      </c>
      <c r="AO153" t="s">
        <v>82</v>
      </c>
      <c r="AP153" t="s">
        <v>386</v>
      </c>
      <c r="AQ153" t="s">
        <v>72</v>
      </c>
      <c r="AR153" t="s">
        <v>72</v>
      </c>
      <c r="AS153" t="s">
        <v>72</v>
      </c>
      <c r="AT153" t="s">
        <v>72</v>
      </c>
      <c r="AU153" t="s">
        <v>72</v>
      </c>
      <c r="AV153" t="s">
        <v>72</v>
      </c>
      <c r="AW153" t="s">
        <v>72</v>
      </c>
      <c r="AX153" t="s">
        <v>103</v>
      </c>
      <c r="AY153">
        <v>16.699199700000001</v>
      </c>
      <c r="AZ153">
        <v>165</v>
      </c>
      <c r="BA153">
        <v>0</v>
      </c>
      <c r="BB153">
        <v>537.44799799999998</v>
      </c>
      <c r="BC153">
        <v>-0.162158</v>
      </c>
      <c r="BD153">
        <v>0.187026</v>
      </c>
      <c r="BE153">
        <v>253.1060028</v>
      </c>
      <c r="BF153">
        <v>5.5214600999999996</v>
      </c>
      <c r="BG153">
        <v>0.52525200000000005</v>
      </c>
      <c r="BH153">
        <v>0.408993</v>
      </c>
      <c r="BI153">
        <v>0.27745700000000001</v>
      </c>
      <c r="BJ153">
        <v>473.18701170000003</v>
      </c>
      <c r="BK153">
        <v>4</v>
      </c>
      <c r="BL153">
        <v>0</v>
      </c>
      <c r="BM153">
        <v>2594.1298827999999</v>
      </c>
      <c r="BN153">
        <v>4500.8701172000001</v>
      </c>
      <c r="BO153">
        <v>53.130100300000002</v>
      </c>
      <c r="BP153">
        <v>961</v>
      </c>
      <c r="BQ153">
        <v>6</v>
      </c>
      <c r="BR153">
        <v>7</v>
      </c>
    </row>
    <row r="154" spans="1:70" x14ac:dyDescent="0.25">
      <c r="A154">
        <v>152</v>
      </c>
      <c r="B154">
        <v>10399</v>
      </c>
      <c r="C154">
        <v>88.457213999999894</v>
      </c>
      <c r="D154">
        <v>27.072467</v>
      </c>
      <c r="E154" t="s">
        <v>587</v>
      </c>
      <c r="F154">
        <v>15</v>
      </c>
      <c r="G154" t="s">
        <v>276</v>
      </c>
      <c r="H154" t="s">
        <v>588</v>
      </c>
      <c r="I154" t="s">
        <v>72</v>
      </c>
      <c r="J154" t="s">
        <v>88</v>
      </c>
      <c r="K154">
        <v>35</v>
      </c>
      <c r="L154">
        <v>40</v>
      </c>
      <c r="M154">
        <v>30</v>
      </c>
      <c r="N154">
        <v>1400</v>
      </c>
      <c r="O154" t="s">
        <v>89</v>
      </c>
      <c r="P154" t="s">
        <v>72</v>
      </c>
      <c r="Q154">
        <v>21000</v>
      </c>
      <c r="R154" t="s">
        <v>72</v>
      </c>
      <c r="S154" t="s">
        <v>73</v>
      </c>
      <c r="T154" t="s">
        <v>74</v>
      </c>
      <c r="U154" t="s">
        <v>90</v>
      </c>
      <c r="V154" t="s">
        <v>72</v>
      </c>
      <c r="W154" t="s">
        <v>76</v>
      </c>
      <c r="X154" t="s">
        <v>77</v>
      </c>
      <c r="Y154">
        <v>2015</v>
      </c>
      <c r="Z154" t="s">
        <v>72</v>
      </c>
      <c r="AA154" t="s">
        <v>72</v>
      </c>
      <c r="AB154" t="s">
        <v>72</v>
      </c>
      <c r="AC154" t="s">
        <v>72</v>
      </c>
      <c r="AD154" t="s">
        <v>589</v>
      </c>
      <c r="AE154">
        <v>0</v>
      </c>
      <c r="AF154" t="s">
        <v>79</v>
      </c>
      <c r="AG154" t="s">
        <v>94</v>
      </c>
      <c r="AH154" t="s">
        <v>95</v>
      </c>
      <c r="AI154" t="s">
        <v>96</v>
      </c>
      <c r="AJ154" t="s">
        <v>97</v>
      </c>
      <c r="AK154">
        <v>2016</v>
      </c>
      <c r="AL154">
        <v>0</v>
      </c>
      <c r="AM154">
        <v>0</v>
      </c>
      <c r="AN154" t="s">
        <v>72</v>
      </c>
      <c r="AO154" t="s">
        <v>72</v>
      </c>
      <c r="AP154" t="s">
        <v>72</v>
      </c>
      <c r="AQ154" t="s">
        <v>72</v>
      </c>
      <c r="AR154" t="s">
        <v>72</v>
      </c>
      <c r="AS154" t="s">
        <v>72</v>
      </c>
      <c r="AT154" t="s">
        <v>72</v>
      </c>
      <c r="AU154" t="s">
        <v>72</v>
      </c>
      <c r="AV154" t="s">
        <v>72</v>
      </c>
      <c r="AW154" t="s">
        <v>72</v>
      </c>
      <c r="AX154" t="s">
        <v>72</v>
      </c>
      <c r="AY154">
        <v>42.272899600000002</v>
      </c>
      <c r="AZ154">
        <v>122</v>
      </c>
      <c r="BA154">
        <v>0.64</v>
      </c>
      <c r="BB154">
        <v>540.76000980000003</v>
      </c>
      <c r="BC154">
        <v>-0.19699700000000001</v>
      </c>
      <c r="BD154">
        <v>0.23751</v>
      </c>
      <c r="BE154">
        <v>357.5090027</v>
      </c>
      <c r="BF154">
        <v>4.0194897999999997</v>
      </c>
      <c r="BG154">
        <v>0.48028799999999999</v>
      </c>
      <c r="BH154">
        <v>0.99259500000000001</v>
      </c>
      <c r="BI154">
        <v>0.264733</v>
      </c>
      <c r="BJ154">
        <v>340.03698730000002</v>
      </c>
      <c r="BK154">
        <v>4</v>
      </c>
      <c r="BL154">
        <v>0</v>
      </c>
      <c r="BM154">
        <v>2686.9199219000002</v>
      </c>
      <c r="BN154">
        <v>4366.9599608999997</v>
      </c>
      <c r="BO154">
        <v>50.355800600000002</v>
      </c>
      <c r="BP154">
        <v>899</v>
      </c>
      <c r="BQ154">
        <v>6</v>
      </c>
      <c r="BR154">
        <v>7</v>
      </c>
    </row>
    <row r="155" spans="1:70" x14ac:dyDescent="0.25">
      <c r="A155">
        <v>153</v>
      </c>
      <c r="B155">
        <v>10778</v>
      </c>
      <c r="C155">
        <v>88.457250000000002</v>
      </c>
      <c r="D155">
        <v>27.072583000000002</v>
      </c>
      <c r="E155" t="s">
        <v>590</v>
      </c>
      <c r="F155">
        <v>1</v>
      </c>
      <c r="G155" t="s">
        <v>102</v>
      </c>
      <c r="H155" t="s">
        <v>72</v>
      </c>
      <c r="I155" t="s">
        <v>72</v>
      </c>
      <c r="J155" t="s">
        <v>88</v>
      </c>
      <c r="K155">
        <v>200</v>
      </c>
      <c r="L155">
        <v>40</v>
      </c>
      <c r="M155">
        <v>160</v>
      </c>
      <c r="N155">
        <v>8000</v>
      </c>
      <c r="O155" t="s">
        <v>89</v>
      </c>
      <c r="P155" t="s">
        <v>72</v>
      </c>
      <c r="Q155">
        <v>8000</v>
      </c>
      <c r="R155" t="s">
        <v>72</v>
      </c>
      <c r="S155" t="s">
        <v>73</v>
      </c>
      <c r="T155" t="s">
        <v>74</v>
      </c>
      <c r="U155" t="s">
        <v>90</v>
      </c>
      <c r="V155" t="s">
        <v>591</v>
      </c>
      <c r="W155" t="s">
        <v>159</v>
      </c>
      <c r="X155" t="s">
        <v>77</v>
      </c>
      <c r="Y155">
        <v>2015</v>
      </c>
      <c r="Z155" t="s">
        <v>72</v>
      </c>
      <c r="AA155" t="s">
        <v>72</v>
      </c>
      <c r="AB155" t="s">
        <v>72</v>
      </c>
      <c r="AC155" t="s">
        <v>72</v>
      </c>
      <c r="AD155" t="s">
        <v>592</v>
      </c>
      <c r="AE155">
        <v>0</v>
      </c>
      <c r="AF155" t="s">
        <v>79</v>
      </c>
      <c r="AG155" t="s">
        <v>94</v>
      </c>
      <c r="AH155" t="s">
        <v>95</v>
      </c>
      <c r="AI155" t="s">
        <v>80</v>
      </c>
      <c r="AJ155" t="s">
        <v>97</v>
      </c>
      <c r="AK155">
        <v>0</v>
      </c>
      <c r="AL155">
        <v>0</v>
      </c>
      <c r="AM155">
        <v>0</v>
      </c>
      <c r="AN155" t="s">
        <v>98</v>
      </c>
      <c r="AO155" t="s">
        <v>82</v>
      </c>
      <c r="AP155" t="s">
        <v>386</v>
      </c>
      <c r="AQ155" t="s">
        <v>72</v>
      </c>
      <c r="AR155" t="s">
        <v>72</v>
      </c>
      <c r="AS155" t="s">
        <v>72</v>
      </c>
      <c r="AT155" t="s">
        <v>72</v>
      </c>
      <c r="AU155" t="s">
        <v>72</v>
      </c>
      <c r="AV155" t="s">
        <v>72</v>
      </c>
      <c r="AW155" t="s">
        <v>72</v>
      </c>
      <c r="AX155" t="s">
        <v>307</v>
      </c>
      <c r="AY155">
        <v>40.378200499999998</v>
      </c>
      <c r="AZ155">
        <v>129</v>
      </c>
      <c r="BA155">
        <v>-2.5599999000000002</v>
      </c>
      <c r="BB155">
        <v>540.76000980000003</v>
      </c>
      <c r="BC155">
        <v>-0.20275799999999999</v>
      </c>
      <c r="BD155">
        <v>0.244702</v>
      </c>
      <c r="BE155">
        <v>367.63598630000001</v>
      </c>
      <c r="BF155">
        <v>6.0222601999999998</v>
      </c>
      <c r="BG155">
        <v>0.46296399999999999</v>
      </c>
      <c r="BH155">
        <v>3.2730899</v>
      </c>
      <c r="BI155">
        <v>0.288296</v>
      </c>
      <c r="BJ155">
        <v>336.57299799999998</v>
      </c>
      <c r="BK155">
        <v>4</v>
      </c>
      <c r="BL155">
        <v>0</v>
      </c>
      <c r="BM155">
        <v>2681.9399414</v>
      </c>
      <c r="BN155">
        <v>4361.1401366999999</v>
      </c>
      <c r="BO155">
        <v>48.814098399999999</v>
      </c>
      <c r="BP155">
        <v>891</v>
      </c>
      <c r="BQ155">
        <v>6</v>
      </c>
      <c r="BR155">
        <v>7</v>
      </c>
    </row>
    <row r="156" spans="1:70" x14ac:dyDescent="0.25">
      <c r="A156">
        <v>154</v>
      </c>
      <c r="B156">
        <v>10684</v>
      </c>
      <c r="C156">
        <v>88.457250000000002</v>
      </c>
      <c r="D156">
        <v>27.072583000000002</v>
      </c>
      <c r="E156" t="s">
        <v>593</v>
      </c>
      <c r="F156">
        <v>1</v>
      </c>
      <c r="G156" t="s">
        <v>87</v>
      </c>
      <c r="H156" t="s">
        <v>581</v>
      </c>
      <c r="I156" t="s">
        <v>72</v>
      </c>
      <c r="J156" t="s">
        <v>88</v>
      </c>
      <c r="K156">
        <v>200</v>
      </c>
      <c r="L156">
        <v>40</v>
      </c>
      <c r="M156">
        <v>160</v>
      </c>
      <c r="N156">
        <v>8000</v>
      </c>
      <c r="O156" t="s">
        <v>89</v>
      </c>
      <c r="P156" t="s">
        <v>72</v>
      </c>
      <c r="Q156">
        <v>8000</v>
      </c>
      <c r="R156" t="s">
        <v>72</v>
      </c>
      <c r="S156" t="s">
        <v>73</v>
      </c>
      <c r="T156" t="s">
        <v>74</v>
      </c>
      <c r="U156" t="s">
        <v>90</v>
      </c>
      <c r="V156" t="s">
        <v>591</v>
      </c>
      <c r="W156" t="s">
        <v>159</v>
      </c>
      <c r="X156" t="s">
        <v>77</v>
      </c>
      <c r="Y156">
        <v>2015</v>
      </c>
      <c r="Z156" t="s">
        <v>72</v>
      </c>
      <c r="AA156" t="s">
        <v>72</v>
      </c>
      <c r="AB156" t="s">
        <v>72</v>
      </c>
      <c r="AC156" t="s">
        <v>72</v>
      </c>
      <c r="AD156" t="s">
        <v>592</v>
      </c>
      <c r="AE156">
        <v>0</v>
      </c>
      <c r="AF156" t="s">
        <v>79</v>
      </c>
      <c r="AG156" t="s">
        <v>94</v>
      </c>
      <c r="AH156" t="s">
        <v>95</v>
      </c>
      <c r="AI156" t="s">
        <v>80</v>
      </c>
      <c r="AJ156" t="s">
        <v>97</v>
      </c>
      <c r="AK156">
        <v>0</v>
      </c>
      <c r="AL156">
        <v>0</v>
      </c>
      <c r="AM156">
        <v>0</v>
      </c>
      <c r="AN156" t="s">
        <v>98</v>
      </c>
      <c r="AO156" t="s">
        <v>72</v>
      </c>
      <c r="AP156" t="s">
        <v>386</v>
      </c>
      <c r="AQ156" t="s">
        <v>72</v>
      </c>
      <c r="AR156" t="s">
        <v>72</v>
      </c>
      <c r="AS156" t="s">
        <v>72</v>
      </c>
      <c r="AT156" t="s">
        <v>72</v>
      </c>
      <c r="AU156" t="s">
        <v>72</v>
      </c>
      <c r="AV156" t="s">
        <v>72</v>
      </c>
      <c r="AW156" t="s">
        <v>72</v>
      </c>
      <c r="AX156" t="s">
        <v>72</v>
      </c>
      <c r="AY156">
        <v>40.378200499999998</v>
      </c>
      <c r="AZ156">
        <v>129</v>
      </c>
      <c r="BA156">
        <v>-2.5599999000000002</v>
      </c>
      <c r="BB156">
        <v>540.76000980000003</v>
      </c>
      <c r="BC156">
        <v>-0.20275799999999999</v>
      </c>
      <c r="BD156">
        <v>0.244702</v>
      </c>
      <c r="BE156">
        <v>367.63598630000001</v>
      </c>
      <c r="BF156">
        <v>6.0222601999999998</v>
      </c>
      <c r="BG156">
        <v>0.46296399999999999</v>
      </c>
      <c r="BH156">
        <v>3.2730899</v>
      </c>
      <c r="BI156">
        <v>0.288296</v>
      </c>
      <c r="BJ156">
        <v>336.57299799999998</v>
      </c>
      <c r="BK156">
        <v>4</v>
      </c>
      <c r="BL156">
        <v>0</v>
      </c>
      <c r="BM156">
        <v>2681.9399414</v>
      </c>
      <c r="BN156">
        <v>4361.1401366999999</v>
      </c>
      <c r="BO156">
        <v>48.814098399999999</v>
      </c>
      <c r="BP156">
        <v>891</v>
      </c>
      <c r="BQ156">
        <v>6</v>
      </c>
      <c r="BR156">
        <v>7</v>
      </c>
    </row>
    <row r="157" spans="1:70" x14ac:dyDescent="0.25">
      <c r="A157">
        <v>155</v>
      </c>
      <c r="B157">
        <v>308</v>
      </c>
      <c r="C157">
        <v>88.457250000000002</v>
      </c>
      <c r="D157">
        <v>27.072583000000002</v>
      </c>
      <c r="E157" t="s">
        <v>594</v>
      </c>
      <c r="F157">
        <v>1.5</v>
      </c>
      <c r="G157" t="s">
        <v>72</v>
      </c>
      <c r="H157" t="s">
        <v>72</v>
      </c>
      <c r="I157" t="s">
        <v>72</v>
      </c>
      <c r="J157" t="s">
        <v>72</v>
      </c>
      <c r="K157">
        <v>160</v>
      </c>
      <c r="L157">
        <v>40</v>
      </c>
      <c r="M157">
        <v>160</v>
      </c>
      <c r="N157">
        <v>0</v>
      </c>
      <c r="O157" t="s">
        <v>89</v>
      </c>
      <c r="P157" t="s">
        <v>72</v>
      </c>
      <c r="Q157">
        <v>0</v>
      </c>
      <c r="R157" t="s">
        <v>72</v>
      </c>
      <c r="S157" t="s">
        <v>73</v>
      </c>
      <c r="T157" t="s">
        <v>74</v>
      </c>
      <c r="U157" t="s">
        <v>90</v>
      </c>
      <c r="V157" t="s">
        <v>595</v>
      </c>
      <c r="W157" t="s">
        <v>76</v>
      </c>
      <c r="X157" t="s">
        <v>77</v>
      </c>
      <c r="Y157">
        <v>2015</v>
      </c>
      <c r="Z157" t="s">
        <v>72</v>
      </c>
      <c r="AA157" t="s">
        <v>72</v>
      </c>
      <c r="AB157" t="s">
        <v>72</v>
      </c>
      <c r="AC157" t="s">
        <v>72</v>
      </c>
      <c r="AD157" t="s">
        <v>72</v>
      </c>
      <c r="AE157">
        <v>0</v>
      </c>
      <c r="AF157" t="s">
        <v>79</v>
      </c>
      <c r="AG157" t="s">
        <v>94</v>
      </c>
      <c r="AH157" t="s">
        <v>95</v>
      </c>
      <c r="AI157" t="s">
        <v>80</v>
      </c>
      <c r="AJ157" t="s">
        <v>97</v>
      </c>
      <c r="AK157">
        <v>0</v>
      </c>
      <c r="AL157">
        <v>0</v>
      </c>
      <c r="AM157">
        <v>0</v>
      </c>
      <c r="AN157" t="s">
        <v>271</v>
      </c>
      <c r="AO157" t="s">
        <v>82</v>
      </c>
      <c r="AP157" t="s">
        <v>596</v>
      </c>
      <c r="AQ157" t="s">
        <v>72</v>
      </c>
      <c r="AR157" t="s">
        <v>72</v>
      </c>
      <c r="AS157" t="s">
        <v>72</v>
      </c>
      <c r="AT157" t="s">
        <v>273</v>
      </c>
      <c r="AU157" t="s">
        <v>72</v>
      </c>
      <c r="AV157" t="s">
        <v>597</v>
      </c>
      <c r="AW157" t="s">
        <v>598</v>
      </c>
      <c r="AX157" t="s">
        <v>599</v>
      </c>
      <c r="AY157">
        <v>40.378200499999998</v>
      </c>
      <c r="AZ157">
        <v>129</v>
      </c>
      <c r="BA157">
        <v>-2.5599999000000002</v>
      </c>
      <c r="BB157">
        <v>540.76000980000003</v>
      </c>
      <c r="BC157">
        <v>-0.20275799999999999</v>
      </c>
      <c r="BD157">
        <v>0.244702</v>
      </c>
      <c r="BE157">
        <v>367.63598630000001</v>
      </c>
      <c r="BF157">
        <v>6.0222601999999998</v>
      </c>
      <c r="BG157">
        <v>0.46296399999999999</v>
      </c>
      <c r="BH157">
        <v>3.2730899</v>
      </c>
      <c r="BI157">
        <v>0.288296</v>
      </c>
      <c r="BJ157">
        <v>336.57299799999998</v>
      </c>
      <c r="BK157">
        <v>4</v>
      </c>
      <c r="BL157">
        <v>0</v>
      </c>
      <c r="BM157">
        <v>2681.9399414</v>
      </c>
      <c r="BN157">
        <v>4361.1401366999999</v>
      </c>
      <c r="BO157">
        <v>48.814098399999999</v>
      </c>
      <c r="BP157">
        <v>891</v>
      </c>
      <c r="BQ157">
        <v>6</v>
      </c>
      <c r="BR157">
        <v>7</v>
      </c>
    </row>
    <row r="158" spans="1:70" x14ac:dyDescent="0.25">
      <c r="A158">
        <v>156</v>
      </c>
      <c r="B158">
        <v>378</v>
      </c>
      <c r="C158">
        <v>88.457250000000002</v>
      </c>
      <c r="D158">
        <v>27.072583000000002</v>
      </c>
      <c r="E158" t="s">
        <v>600</v>
      </c>
      <c r="F158">
        <v>0</v>
      </c>
      <c r="G158" t="s">
        <v>72</v>
      </c>
      <c r="H158" t="s">
        <v>72</v>
      </c>
      <c r="I158" t="s">
        <v>72</v>
      </c>
      <c r="J158" t="s">
        <v>72</v>
      </c>
      <c r="K158">
        <v>160</v>
      </c>
      <c r="L158">
        <v>40</v>
      </c>
      <c r="M158">
        <v>160</v>
      </c>
      <c r="N158">
        <v>0</v>
      </c>
      <c r="O158" t="s">
        <v>72</v>
      </c>
      <c r="P158" t="s">
        <v>601</v>
      </c>
      <c r="Q158">
        <v>0</v>
      </c>
      <c r="R158" t="s">
        <v>72</v>
      </c>
      <c r="S158" t="s">
        <v>73</v>
      </c>
      <c r="T158" t="s">
        <v>74</v>
      </c>
      <c r="U158" t="s">
        <v>90</v>
      </c>
      <c r="V158" t="s">
        <v>595</v>
      </c>
      <c r="W158" t="s">
        <v>159</v>
      </c>
      <c r="X158" t="s">
        <v>77</v>
      </c>
      <c r="Y158">
        <v>0</v>
      </c>
      <c r="Z158" t="s">
        <v>72</v>
      </c>
      <c r="AA158" t="s">
        <v>72</v>
      </c>
      <c r="AB158" t="s">
        <v>72</v>
      </c>
      <c r="AC158" t="s">
        <v>72</v>
      </c>
      <c r="AD158" t="s">
        <v>592</v>
      </c>
      <c r="AE158">
        <v>0</v>
      </c>
      <c r="AF158" t="s">
        <v>79</v>
      </c>
      <c r="AG158" t="s">
        <v>94</v>
      </c>
      <c r="AH158" t="s">
        <v>95</v>
      </c>
      <c r="AI158" t="s">
        <v>80</v>
      </c>
      <c r="AJ158" t="s">
        <v>97</v>
      </c>
      <c r="AK158">
        <v>2015</v>
      </c>
      <c r="AL158">
        <v>0</v>
      </c>
      <c r="AM158">
        <v>0</v>
      </c>
      <c r="AN158" t="s">
        <v>271</v>
      </c>
      <c r="AO158" t="s">
        <v>82</v>
      </c>
      <c r="AP158" t="s">
        <v>602</v>
      </c>
      <c r="AQ158" t="s">
        <v>72</v>
      </c>
      <c r="AR158" t="s">
        <v>72</v>
      </c>
      <c r="AS158" t="s">
        <v>72</v>
      </c>
      <c r="AT158" t="s">
        <v>273</v>
      </c>
      <c r="AU158" t="s">
        <v>72</v>
      </c>
      <c r="AV158" t="s">
        <v>72</v>
      </c>
      <c r="AW158" t="s">
        <v>603</v>
      </c>
      <c r="AX158" t="s">
        <v>604</v>
      </c>
      <c r="AY158">
        <v>40.378200499999998</v>
      </c>
      <c r="AZ158">
        <v>129</v>
      </c>
      <c r="BA158">
        <v>-2.5599999000000002</v>
      </c>
      <c r="BB158">
        <v>540.76000980000003</v>
      </c>
      <c r="BC158">
        <v>-0.20275799999999999</v>
      </c>
      <c r="BD158">
        <v>0.244702</v>
      </c>
      <c r="BE158">
        <v>367.63598630000001</v>
      </c>
      <c r="BF158">
        <v>6.0222601999999998</v>
      </c>
      <c r="BG158">
        <v>0.46296399999999999</v>
      </c>
      <c r="BH158">
        <v>3.2730899</v>
      </c>
      <c r="BI158">
        <v>0.288296</v>
      </c>
      <c r="BJ158">
        <v>336.57299799999998</v>
      </c>
      <c r="BK158">
        <v>4</v>
      </c>
      <c r="BL158">
        <v>0</v>
      </c>
      <c r="BM158">
        <v>2681.9399414</v>
      </c>
      <c r="BN158">
        <v>4361.1401366999999</v>
      </c>
      <c r="BO158">
        <v>48.814098399999999</v>
      </c>
      <c r="BP158">
        <v>891</v>
      </c>
      <c r="BQ158">
        <v>6</v>
      </c>
      <c r="BR158">
        <v>7</v>
      </c>
    </row>
    <row r="159" spans="1:70" x14ac:dyDescent="0.25">
      <c r="A159">
        <v>157</v>
      </c>
      <c r="B159">
        <v>10464</v>
      </c>
      <c r="C159">
        <v>88.454860999999894</v>
      </c>
      <c r="D159">
        <v>27.072972</v>
      </c>
      <c r="E159" t="s">
        <v>605</v>
      </c>
      <c r="F159">
        <v>1</v>
      </c>
      <c r="G159" t="s">
        <v>102</v>
      </c>
      <c r="H159" t="s">
        <v>72</v>
      </c>
      <c r="I159" t="s">
        <v>72</v>
      </c>
      <c r="J159" t="s">
        <v>88</v>
      </c>
      <c r="K159">
        <v>80</v>
      </c>
      <c r="L159">
        <v>25</v>
      </c>
      <c r="M159">
        <v>50</v>
      </c>
      <c r="N159">
        <v>2000</v>
      </c>
      <c r="O159" t="s">
        <v>89</v>
      </c>
      <c r="P159" t="s">
        <v>72</v>
      </c>
      <c r="Q159">
        <v>2000</v>
      </c>
      <c r="R159" t="s">
        <v>72</v>
      </c>
      <c r="S159" t="s">
        <v>73</v>
      </c>
      <c r="T159" t="s">
        <v>74</v>
      </c>
      <c r="U159" t="s">
        <v>90</v>
      </c>
      <c r="V159" t="s">
        <v>606</v>
      </c>
      <c r="W159" t="s">
        <v>208</v>
      </c>
      <c r="X159" t="s">
        <v>77</v>
      </c>
      <c r="Y159">
        <v>2015</v>
      </c>
      <c r="Z159" t="s">
        <v>72</v>
      </c>
      <c r="AA159" t="s">
        <v>72</v>
      </c>
      <c r="AB159" t="s">
        <v>72</v>
      </c>
      <c r="AC159" t="s">
        <v>72</v>
      </c>
      <c r="AD159" t="s">
        <v>606</v>
      </c>
      <c r="AE159">
        <v>50</v>
      </c>
      <c r="AF159" t="s">
        <v>79</v>
      </c>
      <c r="AG159" t="s">
        <v>94</v>
      </c>
      <c r="AH159" t="s">
        <v>95</v>
      </c>
      <c r="AI159" t="s">
        <v>96</v>
      </c>
      <c r="AJ159" t="s">
        <v>97</v>
      </c>
      <c r="AK159">
        <v>0</v>
      </c>
      <c r="AL159">
        <v>0</v>
      </c>
      <c r="AM159">
        <v>0</v>
      </c>
      <c r="AN159" t="s">
        <v>98</v>
      </c>
      <c r="AO159" t="s">
        <v>82</v>
      </c>
      <c r="AP159" t="s">
        <v>386</v>
      </c>
      <c r="AQ159" t="s">
        <v>72</v>
      </c>
      <c r="AR159" t="s">
        <v>72</v>
      </c>
      <c r="AS159" t="s">
        <v>72</v>
      </c>
      <c r="AT159" t="s">
        <v>72</v>
      </c>
      <c r="AU159" t="s">
        <v>72</v>
      </c>
      <c r="AV159" t="s">
        <v>72</v>
      </c>
      <c r="AW159" t="s">
        <v>72</v>
      </c>
      <c r="AX159" t="s">
        <v>103</v>
      </c>
      <c r="AY159">
        <v>28.8467007</v>
      </c>
      <c r="AZ159">
        <v>216</v>
      </c>
      <c r="BA159">
        <v>-0.64</v>
      </c>
      <c r="BB159">
        <v>561.93103029999997</v>
      </c>
      <c r="BC159">
        <v>-0.123877</v>
      </c>
      <c r="BD159">
        <v>0.15304499999999999</v>
      </c>
      <c r="BE159">
        <v>337.73098750000003</v>
      </c>
      <c r="BF159">
        <v>4.7315202000000003</v>
      </c>
      <c r="BG159">
        <v>0.53333299999999995</v>
      </c>
      <c r="BH159">
        <v>0.79200599999999999</v>
      </c>
      <c r="BI159">
        <v>0.40668799999999999</v>
      </c>
      <c r="BJ159">
        <v>561.80499269999996</v>
      </c>
      <c r="BK159">
        <v>4</v>
      </c>
      <c r="BL159">
        <v>0</v>
      </c>
      <c r="BM159">
        <v>2444.5400390999998</v>
      </c>
      <c r="BN159">
        <v>4550.8901366999999</v>
      </c>
      <c r="BO159">
        <v>3.1221299</v>
      </c>
      <c r="BP159">
        <v>921</v>
      </c>
      <c r="BQ159">
        <v>6</v>
      </c>
      <c r="BR159">
        <v>3</v>
      </c>
    </row>
    <row r="160" spans="1:70" x14ac:dyDescent="0.25">
      <c r="A160">
        <v>158</v>
      </c>
      <c r="B160">
        <v>10201</v>
      </c>
      <c r="C160">
        <v>88.463999999999899</v>
      </c>
      <c r="D160">
        <v>27.082000000000001</v>
      </c>
      <c r="E160" t="s">
        <v>607</v>
      </c>
      <c r="F160">
        <v>2</v>
      </c>
      <c r="G160" t="s">
        <v>87</v>
      </c>
      <c r="H160" t="s">
        <v>72</v>
      </c>
      <c r="I160" t="s">
        <v>72</v>
      </c>
      <c r="J160" t="s">
        <v>88</v>
      </c>
      <c r="K160">
        <v>65</v>
      </c>
      <c r="L160">
        <v>8</v>
      </c>
      <c r="M160">
        <v>65</v>
      </c>
      <c r="N160">
        <v>520</v>
      </c>
      <c r="O160" t="s">
        <v>89</v>
      </c>
      <c r="P160" t="s">
        <v>72</v>
      </c>
      <c r="Q160">
        <v>1040</v>
      </c>
      <c r="R160" t="s">
        <v>72</v>
      </c>
      <c r="S160" t="s">
        <v>73</v>
      </c>
      <c r="T160" t="s">
        <v>74</v>
      </c>
      <c r="U160" t="s">
        <v>90</v>
      </c>
      <c r="V160" t="s">
        <v>608</v>
      </c>
      <c r="W160" t="s">
        <v>76</v>
      </c>
      <c r="X160" t="s">
        <v>145</v>
      </c>
      <c r="Y160">
        <v>2006</v>
      </c>
      <c r="Z160" t="s">
        <v>72</v>
      </c>
      <c r="AA160" t="s">
        <v>72</v>
      </c>
      <c r="AB160" t="s">
        <v>72</v>
      </c>
      <c r="AC160" t="s">
        <v>72</v>
      </c>
      <c r="AD160" t="s">
        <v>608</v>
      </c>
      <c r="AE160">
        <v>0</v>
      </c>
      <c r="AF160" t="s">
        <v>186</v>
      </c>
      <c r="AG160" t="s">
        <v>133</v>
      </c>
      <c r="AH160" t="s">
        <v>95</v>
      </c>
      <c r="AI160" t="s">
        <v>150</v>
      </c>
      <c r="AJ160" t="s">
        <v>609</v>
      </c>
      <c r="AK160">
        <v>0</v>
      </c>
      <c r="AL160">
        <v>0</v>
      </c>
      <c r="AM160">
        <v>0</v>
      </c>
      <c r="AN160" t="s">
        <v>98</v>
      </c>
      <c r="AO160" t="s">
        <v>72</v>
      </c>
      <c r="AP160" t="s">
        <v>99</v>
      </c>
      <c r="AQ160" t="s">
        <v>72</v>
      </c>
      <c r="AR160" t="s">
        <v>72</v>
      </c>
      <c r="AS160" t="s">
        <v>72</v>
      </c>
      <c r="AT160" t="s">
        <v>610</v>
      </c>
      <c r="AU160" t="s">
        <v>72</v>
      </c>
      <c r="AV160" t="s">
        <v>611</v>
      </c>
      <c r="AW160" t="s">
        <v>72</v>
      </c>
      <c r="AX160" t="s">
        <v>307</v>
      </c>
      <c r="AY160">
        <v>30.744600299999998</v>
      </c>
      <c r="AZ160">
        <v>242</v>
      </c>
      <c r="BA160">
        <v>-2.5599999000000002</v>
      </c>
      <c r="BB160">
        <v>667.77600099999995</v>
      </c>
      <c r="BC160">
        <v>-0.129555</v>
      </c>
      <c r="BD160">
        <v>0.18363199999999999</v>
      </c>
      <c r="BE160">
        <v>919.66400150000004</v>
      </c>
      <c r="BF160">
        <v>6.9856299999999996</v>
      </c>
      <c r="BG160">
        <v>0.46111099999999999</v>
      </c>
      <c r="BH160">
        <v>3.7795200000000002</v>
      </c>
      <c r="BI160">
        <v>0.80964499999999995</v>
      </c>
      <c r="BJ160">
        <v>701.11499019999997</v>
      </c>
      <c r="BK160">
        <v>6</v>
      </c>
      <c r="BL160">
        <v>0</v>
      </c>
      <c r="BM160">
        <v>3125.0200195000002</v>
      </c>
      <c r="BN160">
        <v>3345.2399902000002</v>
      </c>
      <c r="BO160">
        <v>333.00399779999998</v>
      </c>
      <c r="BP160">
        <v>631</v>
      </c>
      <c r="BQ160">
        <v>6</v>
      </c>
      <c r="BR160">
        <v>3</v>
      </c>
    </row>
    <row r="161" spans="1:70" x14ac:dyDescent="0.25">
      <c r="A161">
        <v>159</v>
      </c>
      <c r="B161">
        <v>239</v>
      </c>
      <c r="C161">
        <v>88.463999999999899</v>
      </c>
      <c r="D161">
        <v>27.082000000000001</v>
      </c>
      <c r="E161" t="s">
        <v>612</v>
      </c>
      <c r="F161">
        <v>2</v>
      </c>
      <c r="G161" t="s">
        <v>613</v>
      </c>
      <c r="H161" t="s">
        <v>72</v>
      </c>
      <c r="I161" t="s">
        <v>72</v>
      </c>
      <c r="J161" t="s">
        <v>72</v>
      </c>
      <c r="K161">
        <v>65</v>
      </c>
      <c r="L161">
        <v>8</v>
      </c>
      <c r="M161">
        <v>65</v>
      </c>
      <c r="N161">
        <v>0</v>
      </c>
      <c r="O161" t="s">
        <v>72</v>
      </c>
      <c r="P161" t="s">
        <v>614</v>
      </c>
      <c r="Q161">
        <v>0</v>
      </c>
      <c r="R161" t="s">
        <v>72</v>
      </c>
      <c r="S161" t="s">
        <v>73</v>
      </c>
      <c r="T161" t="s">
        <v>74</v>
      </c>
      <c r="U161" t="s">
        <v>90</v>
      </c>
      <c r="V161" t="s">
        <v>72</v>
      </c>
      <c r="W161" t="s">
        <v>76</v>
      </c>
      <c r="X161" t="s">
        <v>145</v>
      </c>
      <c r="Y161">
        <v>2006</v>
      </c>
      <c r="Z161" t="s">
        <v>72</v>
      </c>
      <c r="AA161" t="s">
        <v>72</v>
      </c>
      <c r="AB161" t="s">
        <v>72</v>
      </c>
      <c r="AC161" t="s">
        <v>72</v>
      </c>
      <c r="AD161" t="s">
        <v>615</v>
      </c>
      <c r="AE161">
        <v>0</v>
      </c>
      <c r="AF161" t="s">
        <v>186</v>
      </c>
      <c r="AG161" t="s">
        <v>133</v>
      </c>
      <c r="AH161" t="s">
        <v>72</v>
      </c>
      <c r="AI161" t="s">
        <v>150</v>
      </c>
      <c r="AJ161" t="s">
        <v>72</v>
      </c>
      <c r="AK161">
        <v>0</v>
      </c>
      <c r="AL161">
        <v>0</v>
      </c>
      <c r="AM161">
        <v>0</v>
      </c>
      <c r="AN161" t="s">
        <v>72</v>
      </c>
      <c r="AO161" t="s">
        <v>82</v>
      </c>
      <c r="AP161" t="s">
        <v>616</v>
      </c>
      <c r="AQ161" t="s">
        <v>72</v>
      </c>
      <c r="AR161" t="s">
        <v>72</v>
      </c>
      <c r="AS161" t="s">
        <v>72</v>
      </c>
      <c r="AT161" t="s">
        <v>617</v>
      </c>
      <c r="AU161" t="s">
        <v>72</v>
      </c>
      <c r="AV161" t="s">
        <v>618</v>
      </c>
      <c r="AW161" t="s">
        <v>619</v>
      </c>
      <c r="AX161" t="s">
        <v>620</v>
      </c>
      <c r="AY161">
        <v>30.744600299999998</v>
      </c>
      <c r="AZ161">
        <v>242</v>
      </c>
      <c r="BA161">
        <v>-2.5599999000000002</v>
      </c>
      <c r="BB161">
        <v>667.77600099999995</v>
      </c>
      <c r="BC161">
        <v>-0.129555</v>
      </c>
      <c r="BD161">
        <v>0.18363199999999999</v>
      </c>
      <c r="BE161">
        <v>919.66400150000004</v>
      </c>
      <c r="BF161">
        <v>6.9856299999999996</v>
      </c>
      <c r="BG161">
        <v>0.46111099999999999</v>
      </c>
      <c r="BH161">
        <v>3.7795200000000002</v>
      </c>
      <c r="BI161">
        <v>0.80964499999999995</v>
      </c>
      <c r="BJ161">
        <v>701.11499019999997</v>
      </c>
      <c r="BK161">
        <v>6</v>
      </c>
      <c r="BL161">
        <v>0</v>
      </c>
      <c r="BM161">
        <v>3125.0200195000002</v>
      </c>
      <c r="BN161">
        <v>3345.2399902000002</v>
      </c>
      <c r="BO161">
        <v>333.00399779999998</v>
      </c>
      <c r="BP161">
        <v>631</v>
      </c>
      <c r="BQ161">
        <v>6</v>
      </c>
      <c r="BR161">
        <v>3</v>
      </c>
    </row>
    <row r="162" spans="1:70" x14ac:dyDescent="0.25">
      <c r="A162">
        <v>160</v>
      </c>
      <c r="B162">
        <v>11465</v>
      </c>
      <c r="C162">
        <v>88.456444000000005</v>
      </c>
      <c r="D162">
        <v>27.082507</v>
      </c>
      <c r="E162" t="s">
        <v>621</v>
      </c>
      <c r="F162">
        <v>2</v>
      </c>
      <c r="G162" t="s">
        <v>130</v>
      </c>
      <c r="H162" t="s">
        <v>72</v>
      </c>
      <c r="I162" t="s">
        <v>72</v>
      </c>
      <c r="J162" t="s">
        <v>88</v>
      </c>
      <c r="K162">
        <v>50</v>
      </c>
      <c r="L162">
        <v>25</v>
      </c>
      <c r="M162">
        <v>35</v>
      </c>
      <c r="N162">
        <v>1250</v>
      </c>
      <c r="O162" t="s">
        <v>89</v>
      </c>
      <c r="P162" t="s">
        <v>72</v>
      </c>
      <c r="Q162">
        <v>2500</v>
      </c>
      <c r="R162" t="s">
        <v>72</v>
      </c>
      <c r="S162" t="s">
        <v>73</v>
      </c>
      <c r="T162" t="s">
        <v>74</v>
      </c>
      <c r="U162" t="s">
        <v>90</v>
      </c>
      <c r="V162" t="s">
        <v>622</v>
      </c>
      <c r="W162" t="s">
        <v>76</v>
      </c>
      <c r="X162" t="s">
        <v>77</v>
      </c>
      <c r="Y162">
        <v>2007</v>
      </c>
      <c r="Z162" t="s">
        <v>72</v>
      </c>
      <c r="AA162" t="s">
        <v>72</v>
      </c>
      <c r="AB162" t="s">
        <v>72</v>
      </c>
      <c r="AC162" t="s">
        <v>72</v>
      </c>
      <c r="AD162" t="s">
        <v>623</v>
      </c>
      <c r="AE162">
        <v>0</v>
      </c>
      <c r="AF162" t="s">
        <v>79</v>
      </c>
      <c r="AG162" t="s">
        <v>133</v>
      </c>
      <c r="AH162" t="s">
        <v>95</v>
      </c>
      <c r="AI162" t="s">
        <v>96</v>
      </c>
      <c r="AJ162" t="s">
        <v>97</v>
      </c>
      <c r="AK162">
        <v>0</v>
      </c>
      <c r="AL162">
        <v>0</v>
      </c>
      <c r="AM162">
        <v>0</v>
      </c>
      <c r="AN162" t="s">
        <v>98</v>
      </c>
      <c r="AO162" t="s">
        <v>72</v>
      </c>
      <c r="AP162" t="s">
        <v>99</v>
      </c>
      <c r="AQ162" t="s">
        <v>72</v>
      </c>
      <c r="AR162" t="s">
        <v>72</v>
      </c>
      <c r="AS162" t="s">
        <v>72</v>
      </c>
      <c r="AT162" t="s">
        <v>72</v>
      </c>
      <c r="AU162" t="s">
        <v>72</v>
      </c>
      <c r="AV162" t="s">
        <v>72</v>
      </c>
      <c r="AW162" t="s">
        <v>72</v>
      </c>
      <c r="AX162" t="s">
        <v>72</v>
      </c>
      <c r="AY162">
        <v>31.5501003</v>
      </c>
      <c r="AZ162">
        <v>236</v>
      </c>
      <c r="BA162">
        <v>-1.92</v>
      </c>
      <c r="BB162">
        <v>561.78802489999998</v>
      </c>
      <c r="BC162">
        <v>-0.14650299999999999</v>
      </c>
      <c r="BD162">
        <v>0.199851</v>
      </c>
      <c r="BE162">
        <v>425.73498540000003</v>
      </c>
      <c r="BF162">
        <v>9.8792801000000008</v>
      </c>
      <c r="BG162">
        <v>0.47953200000000001</v>
      </c>
      <c r="BH162">
        <v>6.3302797999999996</v>
      </c>
      <c r="BI162">
        <v>0.927485</v>
      </c>
      <c r="BJ162">
        <v>12.5</v>
      </c>
      <c r="BK162">
        <v>7</v>
      </c>
      <c r="BL162">
        <v>0</v>
      </c>
      <c r="BM162">
        <v>2375.3000487999998</v>
      </c>
      <c r="BN162">
        <v>4056.8601073999998</v>
      </c>
      <c r="BO162">
        <v>286.07400510000002</v>
      </c>
      <c r="BP162">
        <v>286</v>
      </c>
      <c r="BQ162">
        <v>6</v>
      </c>
      <c r="BR162">
        <v>3</v>
      </c>
    </row>
    <row r="163" spans="1:70" x14ac:dyDescent="0.25">
      <c r="A163">
        <v>161</v>
      </c>
      <c r="B163">
        <v>231</v>
      </c>
      <c r="C163">
        <v>88.454999999999899</v>
      </c>
      <c r="D163">
        <v>27.084</v>
      </c>
      <c r="E163" t="s">
        <v>624</v>
      </c>
      <c r="F163">
        <v>2</v>
      </c>
      <c r="G163" t="s">
        <v>625</v>
      </c>
      <c r="H163" t="s">
        <v>72</v>
      </c>
      <c r="I163" t="s">
        <v>72</v>
      </c>
      <c r="J163" t="s">
        <v>72</v>
      </c>
      <c r="K163">
        <v>35</v>
      </c>
      <c r="L163">
        <v>25</v>
      </c>
      <c r="M163">
        <v>35</v>
      </c>
      <c r="N163">
        <v>0</v>
      </c>
      <c r="O163" t="s">
        <v>72</v>
      </c>
      <c r="P163" t="s">
        <v>626</v>
      </c>
      <c r="Q163">
        <v>0</v>
      </c>
      <c r="R163" t="s">
        <v>72</v>
      </c>
      <c r="S163" t="s">
        <v>73</v>
      </c>
      <c r="T163" t="s">
        <v>74</v>
      </c>
      <c r="U163" t="s">
        <v>90</v>
      </c>
      <c r="V163" t="s">
        <v>72</v>
      </c>
      <c r="W163" t="s">
        <v>76</v>
      </c>
      <c r="X163" t="s">
        <v>77</v>
      </c>
      <c r="Y163">
        <v>0</v>
      </c>
      <c r="Z163" t="s">
        <v>72</v>
      </c>
      <c r="AA163" t="s">
        <v>72</v>
      </c>
      <c r="AB163" t="s">
        <v>72</v>
      </c>
      <c r="AC163" t="s">
        <v>72</v>
      </c>
      <c r="AD163" t="s">
        <v>627</v>
      </c>
      <c r="AE163">
        <v>0</v>
      </c>
      <c r="AF163" t="s">
        <v>79</v>
      </c>
      <c r="AG163" t="s">
        <v>133</v>
      </c>
      <c r="AH163" t="s">
        <v>72</v>
      </c>
      <c r="AI163" t="s">
        <v>96</v>
      </c>
      <c r="AJ163" t="s">
        <v>97</v>
      </c>
      <c r="AK163">
        <v>0</v>
      </c>
      <c r="AL163">
        <v>0</v>
      </c>
      <c r="AM163">
        <v>0</v>
      </c>
      <c r="AN163" t="s">
        <v>72</v>
      </c>
      <c r="AO163" t="s">
        <v>72</v>
      </c>
      <c r="AP163" t="s">
        <v>72</v>
      </c>
      <c r="AQ163" t="s">
        <v>72</v>
      </c>
      <c r="AR163" t="s">
        <v>72</v>
      </c>
      <c r="AS163" t="s">
        <v>72</v>
      </c>
      <c r="AT163" t="s">
        <v>72</v>
      </c>
      <c r="AU163" t="s">
        <v>72</v>
      </c>
      <c r="AV163" t="s">
        <v>142</v>
      </c>
      <c r="AW163" t="s">
        <v>72</v>
      </c>
      <c r="AX163" t="s">
        <v>72</v>
      </c>
      <c r="AY163">
        <v>37.728900899999999</v>
      </c>
      <c r="AZ163">
        <v>199</v>
      </c>
      <c r="BA163">
        <v>-1.28</v>
      </c>
      <c r="BB163">
        <v>553.23901369999999</v>
      </c>
      <c r="BC163">
        <v>-0.12592500000000001</v>
      </c>
      <c r="BD163">
        <v>0.141844</v>
      </c>
      <c r="BE163">
        <v>205.01499939999999</v>
      </c>
      <c r="BF163">
        <v>2.7838199000000001</v>
      </c>
      <c r="BG163">
        <v>0.44927499999999998</v>
      </c>
      <c r="BH163">
        <v>-7.1645497999999996</v>
      </c>
      <c r="BI163">
        <v>1.0813900000000001</v>
      </c>
      <c r="BJ163">
        <v>53.033000899999998</v>
      </c>
      <c r="BK163">
        <v>7</v>
      </c>
      <c r="BL163">
        <v>0</v>
      </c>
      <c r="BM163">
        <v>2233.9699707</v>
      </c>
      <c r="BN163">
        <v>4170.2998047000001</v>
      </c>
      <c r="BO163">
        <v>14.215900400000001</v>
      </c>
      <c r="BP163">
        <v>248</v>
      </c>
      <c r="BQ163">
        <v>6</v>
      </c>
      <c r="BR163">
        <v>3</v>
      </c>
    </row>
    <row r="164" spans="1:70" x14ac:dyDescent="0.25">
      <c r="A164">
        <v>162</v>
      </c>
      <c r="B164">
        <v>10589</v>
      </c>
      <c r="C164">
        <v>88.457830000000001</v>
      </c>
      <c r="D164">
        <v>27.085666</v>
      </c>
      <c r="E164" t="s">
        <v>628</v>
      </c>
      <c r="F164">
        <v>2</v>
      </c>
      <c r="G164" t="s">
        <v>87</v>
      </c>
      <c r="H164" t="s">
        <v>72</v>
      </c>
      <c r="I164" t="s">
        <v>72</v>
      </c>
      <c r="J164" t="s">
        <v>88</v>
      </c>
      <c r="K164">
        <v>55</v>
      </c>
      <c r="L164">
        <v>130</v>
      </c>
      <c r="M164">
        <v>40</v>
      </c>
      <c r="N164">
        <v>7150</v>
      </c>
      <c r="O164" t="s">
        <v>89</v>
      </c>
      <c r="P164" t="s">
        <v>72</v>
      </c>
      <c r="Q164">
        <v>14300</v>
      </c>
      <c r="R164" t="s">
        <v>72</v>
      </c>
      <c r="S164" t="s">
        <v>73</v>
      </c>
      <c r="T164" t="s">
        <v>74</v>
      </c>
      <c r="U164" t="s">
        <v>90</v>
      </c>
      <c r="V164" t="s">
        <v>629</v>
      </c>
      <c r="W164" t="s">
        <v>159</v>
      </c>
      <c r="X164" t="s">
        <v>119</v>
      </c>
      <c r="Y164">
        <v>1968</v>
      </c>
      <c r="Z164" t="s">
        <v>72</v>
      </c>
      <c r="AA164" t="s">
        <v>72</v>
      </c>
      <c r="AB164" t="s">
        <v>72</v>
      </c>
      <c r="AC164" t="s">
        <v>72</v>
      </c>
      <c r="AD164" t="s">
        <v>630</v>
      </c>
      <c r="AE164">
        <v>0</v>
      </c>
      <c r="AF164" t="s">
        <v>79</v>
      </c>
      <c r="AG164" t="s">
        <v>94</v>
      </c>
      <c r="AH164" t="s">
        <v>95</v>
      </c>
      <c r="AI164" t="s">
        <v>96</v>
      </c>
      <c r="AJ164" t="s">
        <v>97</v>
      </c>
      <c r="AK164">
        <v>1974</v>
      </c>
      <c r="AL164">
        <v>0</v>
      </c>
      <c r="AM164">
        <v>0</v>
      </c>
      <c r="AN164" t="s">
        <v>98</v>
      </c>
      <c r="AO164" t="s">
        <v>221</v>
      </c>
      <c r="AP164" t="s">
        <v>99</v>
      </c>
      <c r="AQ164" t="s">
        <v>72</v>
      </c>
      <c r="AR164" t="s">
        <v>72</v>
      </c>
      <c r="AS164" t="s">
        <v>72</v>
      </c>
      <c r="AT164" t="s">
        <v>631</v>
      </c>
      <c r="AU164" t="s">
        <v>72</v>
      </c>
      <c r="AV164" t="s">
        <v>72</v>
      </c>
      <c r="AW164" t="s">
        <v>72</v>
      </c>
      <c r="AX164" t="s">
        <v>632</v>
      </c>
      <c r="AY164">
        <v>28.556899999999999</v>
      </c>
      <c r="AZ164">
        <v>236</v>
      </c>
      <c r="BA164">
        <v>0</v>
      </c>
      <c r="BB164">
        <v>546.04101560000004</v>
      </c>
      <c r="BC164">
        <v>-0.17010600000000001</v>
      </c>
      <c r="BD164">
        <v>0.22020999999999999</v>
      </c>
      <c r="BE164">
        <v>279.50799560000002</v>
      </c>
      <c r="BF164">
        <v>5.2561498000000002</v>
      </c>
      <c r="BG164">
        <v>0.47712399999999999</v>
      </c>
      <c r="BH164">
        <v>1.2969900000000001</v>
      </c>
      <c r="BI164">
        <v>1.1675</v>
      </c>
      <c r="BJ164">
        <v>285.04400629999998</v>
      </c>
      <c r="BK164">
        <v>7</v>
      </c>
      <c r="BL164">
        <v>0</v>
      </c>
      <c r="BM164">
        <v>2542.2099609000002</v>
      </c>
      <c r="BN164">
        <v>3855.6201172000001</v>
      </c>
      <c r="BO164">
        <v>339.56698610000001</v>
      </c>
      <c r="BP164">
        <v>332</v>
      </c>
      <c r="BQ164">
        <v>6</v>
      </c>
      <c r="BR164">
        <v>3</v>
      </c>
    </row>
    <row r="165" spans="1:70" x14ac:dyDescent="0.25">
      <c r="A165">
        <v>163</v>
      </c>
      <c r="B165">
        <v>11558</v>
      </c>
      <c r="C165">
        <v>88.457853</v>
      </c>
      <c r="D165">
        <v>27.085709000000001</v>
      </c>
      <c r="E165" t="s">
        <v>633</v>
      </c>
      <c r="F165">
        <v>5</v>
      </c>
      <c r="G165" t="s">
        <v>102</v>
      </c>
      <c r="H165" t="s">
        <v>72</v>
      </c>
      <c r="I165" t="s">
        <v>72</v>
      </c>
      <c r="J165" t="s">
        <v>88</v>
      </c>
      <c r="K165">
        <v>12</v>
      </c>
      <c r="L165">
        <v>10</v>
      </c>
      <c r="M165">
        <v>8</v>
      </c>
      <c r="N165">
        <v>120</v>
      </c>
      <c r="O165" t="s">
        <v>89</v>
      </c>
      <c r="P165" t="s">
        <v>72</v>
      </c>
      <c r="Q165">
        <v>600</v>
      </c>
      <c r="R165" t="s">
        <v>72</v>
      </c>
      <c r="S165" t="s">
        <v>73</v>
      </c>
      <c r="T165" t="s">
        <v>74</v>
      </c>
      <c r="U165" t="s">
        <v>90</v>
      </c>
      <c r="V165" t="s">
        <v>634</v>
      </c>
      <c r="W165" t="s">
        <v>76</v>
      </c>
      <c r="X165" t="s">
        <v>77</v>
      </c>
      <c r="Y165">
        <v>2015</v>
      </c>
      <c r="Z165" t="s">
        <v>72</v>
      </c>
      <c r="AA165" t="s">
        <v>72</v>
      </c>
      <c r="AB165" t="s">
        <v>72</v>
      </c>
      <c r="AC165" t="s">
        <v>72</v>
      </c>
      <c r="AD165" t="s">
        <v>635</v>
      </c>
      <c r="AE165">
        <v>0</v>
      </c>
      <c r="AF165" t="s">
        <v>79</v>
      </c>
      <c r="AG165" t="s">
        <v>94</v>
      </c>
      <c r="AH165" t="s">
        <v>95</v>
      </c>
      <c r="AI165" t="s">
        <v>96</v>
      </c>
      <c r="AJ165" t="s">
        <v>97</v>
      </c>
      <c r="AK165">
        <v>0</v>
      </c>
      <c r="AL165">
        <v>0</v>
      </c>
      <c r="AM165">
        <v>0</v>
      </c>
      <c r="AN165" t="s">
        <v>72</v>
      </c>
      <c r="AO165" t="s">
        <v>72</v>
      </c>
      <c r="AP165" t="s">
        <v>72</v>
      </c>
      <c r="AQ165" t="s">
        <v>72</v>
      </c>
      <c r="AR165" t="s">
        <v>72</v>
      </c>
      <c r="AS165" t="s">
        <v>72</v>
      </c>
      <c r="AT165" t="s">
        <v>72</v>
      </c>
      <c r="AU165" t="s">
        <v>72</v>
      </c>
      <c r="AV165" t="s">
        <v>72</v>
      </c>
      <c r="AW165" t="s">
        <v>72</v>
      </c>
      <c r="AX165" t="s">
        <v>72</v>
      </c>
      <c r="AY165">
        <v>27.238599799999999</v>
      </c>
      <c r="AZ165">
        <v>226</v>
      </c>
      <c r="BA165">
        <v>0.64</v>
      </c>
      <c r="BB165">
        <v>546.04101560000004</v>
      </c>
      <c r="BC165">
        <v>-0.17010600000000001</v>
      </c>
      <c r="BD165">
        <v>0.22020999999999999</v>
      </c>
      <c r="BE165">
        <v>268.38598630000001</v>
      </c>
      <c r="BF165">
        <v>5.3869699999999998</v>
      </c>
      <c r="BG165">
        <v>0.50370300000000001</v>
      </c>
      <c r="BH165">
        <v>1.4174899999999999</v>
      </c>
      <c r="BI165">
        <v>1.17048</v>
      </c>
      <c r="BJ165">
        <v>292.8840027</v>
      </c>
      <c r="BK165">
        <v>7</v>
      </c>
      <c r="BL165">
        <v>0</v>
      </c>
      <c r="BM165">
        <v>2544.1398926000002</v>
      </c>
      <c r="BN165">
        <v>3853.7700195000002</v>
      </c>
      <c r="BO165">
        <v>352.18499759999997</v>
      </c>
      <c r="BP165">
        <v>334</v>
      </c>
      <c r="BQ165">
        <v>6</v>
      </c>
      <c r="BR165">
        <v>3</v>
      </c>
    </row>
    <row r="166" spans="1:70" x14ac:dyDescent="0.25">
      <c r="A166">
        <v>164</v>
      </c>
      <c r="B166">
        <v>10571</v>
      </c>
      <c r="C166">
        <v>88.460984999999894</v>
      </c>
      <c r="D166">
        <v>27.0872069999999</v>
      </c>
      <c r="E166" t="s">
        <v>636</v>
      </c>
      <c r="F166">
        <v>1</v>
      </c>
      <c r="G166" t="s">
        <v>130</v>
      </c>
      <c r="H166" t="s">
        <v>72</v>
      </c>
      <c r="I166" t="s">
        <v>72</v>
      </c>
      <c r="J166" t="s">
        <v>88</v>
      </c>
      <c r="K166">
        <v>50</v>
      </c>
      <c r="L166">
        <v>15</v>
      </c>
      <c r="M166">
        <v>35</v>
      </c>
      <c r="N166">
        <v>750</v>
      </c>
      <c r="O166" t="s">
        <v>89</v>
      </c>
      <c r="P166" t="s">
        <v>72</v>
      </c>
      <c r="Q166">
        <v>750</v>
      </c>
      <c r="R166" t="s">
        <v>72</v>
      </c>
      <c r="S166" t="s">
        <v>73</v>
      </c>
      <c r="T166" t="s">
        <v>74</v>
      </c>
      <c r="U166" t="s">
        <v>90</v>
      </c>
      <c r="V166" t="s">
        <v>637</v>
      </c>
      <c r="W166" t="s">
        <v>76</v>
      </c>
      <c r="X166" t="s">
        <v>77</v>
      </c>
      <c r="Y166">
        <v>2007</v>
      </c>
      <c r="Z166" t="s">
        <v>72</v>
      </c>
      <c r="AA166" t="s">
        <v>72</v>
      </c>
      <c r="AB166" t="s">
        <v>72</v>
      </c>
      <c r="AC166" t="s">
        <v>72</v>
      </c>
      <c r="AD166" t="s">
        <v>638</v>
      </c>
      <c r="AE166">
        <v>0</v>
      </c>
      <c r="AF166" t="s">
        <v>79</v>
      </c>
      <c r="AG166" t="s">
        <v>133</v>
      </c>
      <c r="AH166" t="s">
        <v>95</v>
      </c>
      <c r="AI166" t="s">
        <v>96</v>
      </c>
      <c r="AJ166" t="s">
        <v>97</v>
      </c>
      <c r="AK166">
        <v>0</v>
      </c>
      <c r="AL166">
        <v>0</v>
      </c>
      <c r="AM166">
        <v>0</v>
      </c>
      <c r="AN166" t="s">
        <v>98</v>
      </c>
      <c r="AO166" t="s">
        <v>82</v>
      </c>
      <c r="AP166" t="s">
        <v>99</v>
      </c>
      <c r="AQ166" t="s">
        <v>72</v>
      </c>
      <c r="AR166" t="s">
        <v>72</v>
      </c>
      <c r="AS166" t="s">
        <v>72</v>
      </c>
      <c r="AT166" t="s">
        <v>639</v>
      </c>
      <c r="AU166" t="s">
        <v>72</v>
      </c>
      <c r="AV166" t="s">
        <v>640</v>
      </c>
      <c r="AW166" t="s">
        <v>72</v>
      </c>
      <c r="AX166" t="s">
        <v>641</v>
      </c>
      <c r="AY166">
        <v>24.650899899999999</v>
      </c>
      <c r="AZ166">
        <v>205</v>
      </c>
      <c r="BA166">
        <v>1.92</v>
      </c>
      <c r="BB166">
        <v>492.04800419999998</v>
      </c>
      <c r="BC166">
        <v>-0.15084700000000001</v>
      </c>
      <c r="BD166">
        <v>0.19911000000000001</v>
      </c>
      <c r="BE166">
        <v>267.51199339999999</v>
      </c>
      <c r="BF166">
        <v>3.1446700000000001</v>
      </c>
      <c r="BG166">
        <v>0.57936500000000002</v>
      </c>
      <c r="BH166">
        <v>-7.5248398999999999</v>
      </c>
      <c r="BI166">
        <v>1.1363399999999999</v>
      </c>
      <c r="BJ166">
        <v>388.90899660000002</v>
      </c>
      <c r="BK166">
        <v>4</v>
      </c>
      <c r="BL166">
        <v>0</v>
      </c>
      <c r="BM166">
        <v>2868.1999512000002</v>
      </c>
      <c r="BN166">
        <v>3535.1999512000002</v>
      </c>
      <c r="BO166">
        <v>258.69000240000003</v>
      </c>
      <c r="BP166">
        <v>381</v>
      </c>
      <c r="BQ166">
        <v>6</v>
      </c>
      <c r="BR166">
        <v>3</v>
      </c>
    </row>
    <row r="167" spans="1:70" x14ac:dyDescent="0.25">
      <c r="A167">
        <v>165</v>
      </c>
      <c r="B167">
        <v>196</v>
      </c>
      <c r="C167">
        <v>88.459000000000003</v>
      </c>
      <c r="D167">
        <v>27.088000000000001</v>
      </c>
      <c r="E167" t="s">
        <v>642</v>
      </c>
      <c r="F167">
        <v>2</v>
      </c>
      <c r="G167" t="s">
        <v>643</v>
      </c>
      <c r="H167" t="s">
        <v>72</v>
      </c>
      <c r="I167" t="s">
        <v>72</v>
      </c>
      <c r="J167" t="s">
        <v>72</v>
      </c>
      <c r="K167">
        <v>40</v>
      </c>
      <c r="L167">
        <v>130</v>
      </c>
      <c r="M167">
        <v>40</v>
      </c>
      <c r="N167">
        <v>0</v>
      </c>
      <c r="O167" t="s">
        <v>72</v>
      </c>
      <c r="P167" t="s">
        <v>644</v>
      </c>
      <c r="Q167">
        <v>0</v>
      </c>
      <c r="R167" t="s">
        <v>72</v>
      </c>
      <c r="S167" t="s">
        <v>73</v>
      </c>
      <c r="T167" t="s">
        <v>74</v>
      </c>
      <c r="U167" t="s">
        <v>90</v>
      </c>
      <c r="V167" t="s">
        <v>72</v>
      </c>
      <c r="W167" t="s">
        <v>72</v>
      </c>
      <c r="X167" t="s">
        <v>119</v>
      </c>
      <c r="Y167">
        <v>1968</v>
      </c>
      <c r="Z167" t="s">
        <v>72</v>
      </c>
      <c r="AA167" t="s">
        <v>72</v>
      </c>
      <c r="AB167" t="s">
        <v>72</v>
      </c>
      <c r="AC167" t="s">
        <v>72</v>
      </c>
      <c r="AD167" t="s">
        <v>630</v>
      </c>
      <c r="AE167">
        <v>0</v>
      </c>
      <c r="AF167" t="s">
        <v>79</v>
      </c>
      <c r="AG167" t="s">
        <v>94</v>
      </c>
      <c r="AH167" t="s">
        <v>72</v>
      </c>
      <c r="AI167" t="s">
        <v>96</v>
      </c>
      <c r="AJ167" t="s">
        <v>72</v>
      </c>
      <c r="AK167">
        <v>1974</v>
      </c>
      <c r="AL167">
        <v>0</v>
      </c>
      <c r="AM167">
        <v>0</v>
      </c>
      <c r="AN167" t="s">
        <v>72</v>
      </c>
      <c r="AO167" t="s">
        <v>177</v>
      </c>
      <c r="AP167" t="s">
        <v>399</v>
      </c>
      <c r="AQ167" t="s">
        <v>72</v>
      </c>
      <c r="AR167" t="s">
        <v>72</v>
      </c>
      <c r="AS167" t="s">
        <v>72</v>
      </c>
      <c r="AT167" t="s">
        <v>72</v>
      </c>
      <c r="AU167" t="s">
        <v>72</v>
      </c>
      <c r="AV167" t="s">
        <v>645</v>
      </c>
      <c r="AW167" t="s">
        <v>72</v>
      </c>
      <c r="AX167" t="s">
        <v>646</v>
      </c>
      <c r="AY167">
        <v>35.987999000000002</v>
      </c>
      <c r="AZ167">
        <v>251</v>
      </c>
      <c r="BA167">
        <v>3.2</v>
      </c>
      <c r="BB167">
        <v>500.97799680000003</v>
      </c>
      <c r="BC167">
        <v>-8.1909099999999999E-2</v>
      </c>
      <c r="BD167">
        <v>0.117045</v>
      </c>
      <c r="BE167">
        <v>103.0780029</v>
      </c>
      <c r="BF167">
        <v>3.1064999000000002</v>
      </c>
      <c r="BG167">
        <v>0.476852</v>
      </c>
      <c r="BH167">
        <v>-7.4867501000000001</v>
      </c>
      <c r="BI167">
        <v>1.15574</v>
      </c>
      <c r="BJ167">
        <v>206.91200259999999</v>
      </c>
      <c r="BK167">
        <v>7</v>
      </c>
      <c r="BL167">
        <v>0</v>
      </c>
      <c r="BM167">
        <v>2704.2800293</v>
      </c>
      <c r="BN167">
        <v>3713.1699219000002</v>
      </c>
      <c r="BO167">
        <v>321.7099915</v>
      </c>
      <c r="BP167">
        <v>276</v>
      </c>
      <c r="BQ167">
        <v>6</v>
      </c>
      <c r="BR167">
        <v>3</v>
      </c>
    </row>
    <row r="168" spans="1:70" x14ac:dyDescent="0.25">
      <c r="A168">
        <v>166</v>
      </c>
      <c r="B168">
        <v>204</v>
      </c>
      <c r="C168">
        <v>88.462999999999894</v>
      </c>
      <c r="D168">
        <v>27.088999999999899</v>
      </c>
      <c r="E168" t="s">
        <v>647</v>
      </c>
      <c r="F168">
        <v>0.5</v>
      </c>
      <c r="G168" t="s">
        <v>648</v>
      </c>
      <c r="H168" t="s">
        <v>72</v>
      </c>
      <c r="I168" t="s">
        <v>72</v>
      </c>
      <c r="J168" t="s">
        <v>72</v>
      </c>
      <c r="K168">
        <v>35</v>
      </c>
      <c r="L168">
        <v>15</v>
      </c>
      <c r="M168">
        <v>35</v>
      </c>
      <c r="N168">
        <v>0</v>
      </c>
      <c r="O168" t="s">
        <v>72</v>
      </c>
      <c r="P168" t="s">
        <v>649</v>
      </c>
      <c r="Q168">
        <v>0</v>
      </c>
      <c r="R168" t="s">
        <v>72</v>
      </c>
      <c r="S168" t="s">
        <v>73</v>
      </c>
      <c r="T168" t="s">
        <v>74</v>
      </c>
      <c r="U168" t="s">
        <v>572</v>
      </c>
      <c r="V168" t="s">
        <v>72</v>
      </c>
      <c r="W168" t="s">
        <v>76</v>
      </c>
      <c r="X168" t="s">
        <v>77</v>
      </c>
      <c r="Y168">
        <v>0</v>
      </c>
      <c r="Z168" t="s">
        <v>72</v>
      </c>
      <c r="AA168" t="s">
        <v>72</v>
      </c>
      <c r="AB168" t="s">
        <v>650</v>
      </c>
      <c r="AC168" t="s">
        <v>72</v>
      </c>
      <c r="AD168" t="s">
        <v>651</v>
      </c>
      <c r="AE168">
        <v>0</v>
      </c>
      <c r="AF168" t="s">
        <v>79</v>
      </c>
      <c r="AG168" t="s">
        <v>133</v>
      </c>
      <c r="AH168" t="s">
        <v>72</v>
      </c>
      <c r="AI168" t="s">
        <v>96</v>
      </c>
      <c r="AJ168" t="s">
        <v>97</v>
      </c>
      <c r="AK168">
        <v>0</v>
      </c>
      <c r="AL168">
        <v>0</v>
      </c>
      <c r="AM168">
        <v>0</v>
      </c>
      <c r="AN168" t="s">
        <v>72</v>
      </c>
      <c r="AO168" t="s">
        <v>72</v>
      </c>
      <c r="AP168" t="s">
        <v>72</v>
      </c>
      <c r="AQ168" t="s">
        <v>72</v>
      </c>
      <c r="AR168" t="s">
        <v>72</v>
      </c>
      <c r="AS168" t="s">
        <v>72</v>
      </c>
      <c r="AT168" t="s">
        <v>72</v>
      </c>
      <c r="AU168" t="s">
        <v>72</v>
      </c>
      <c r="AV168" t="s">
        <v>652</v>
      </c>
      <c r="AW168" t="s">
        <v>72</v>
      </c>
      <c r="AX168" t="s">
        <v>72</v>
      </c>
      <c r="AY168">
        <v>32.983501400000002</v>
      </c>
      <c r="AZ168">
        <v>247</v>
      </c>
      <c r="BA168">
        <v>1.92</v>
      </c>
      <c r="BB168">
        <v>445.31698610000001</v>
      </c>
      <c r="BC168">
        <v>-0.106825</v>
      </c>
      <c r="BD168">
        <v>0.16233300000000001</v>
      </c>
      <c r="BE168">
        <v>290.74301150000002</v>
      </c>
      <c r="BF168">
        <v>5.7306398999999999</v>
      </c>
      <c r="BG168">
        <v>0.51010100000000003</v>
      </c>
      <c r="BH168">
        <v>2.2773298999999998</v>
      </c>
      <c r="BI168">
        <v>1.1497200000000001</v>
      </c>
      <c r="BJ168">
        <v>388.90899660000002</v>
      </c>
      <c r="BK168">
        <v>4</v>
      </c>
      <c r="BL168">
        <v>0</v>
      </c>
      <c r="BM168">
        <v>3107.5</v>
      </c>
      <c r="BN168">
        <v>3318.5300293</v>
      </c>
      <c r="BO168">
        <v>303.69000240000003</v>
      </c>
      <c r="BP168">
        <v>394</v>
      </c>
      <c r="BQ168">
        <v>6</v>
      </c>
      <c r="BR168">
        <v>3</v>
      </c>
    </row>
    <row r="169" spans="1:70" x14ac:dyDescent="0.25">
      <c r="A169">
        <v>167</v>
      </c>
      <c r="B169">
        <v>8780</v>
      </c>
      <c r="C169">
        <v>88.406833000000006</v>
      </c>
      <c r="D169">
        <v>27.090944</v>
      </c>
      <c r="E169" t="s">
        <v>653</v>
      </c>
      <c r="F169">
        <v>2.5</v>
      </c>
      <c r="G169" t="s">
        <v>225</v>
      </c>
      <c r="H169" t="s">
        <v>654</v>
      </c>
      <c r="I169" t="s">
        <v>72</v>
      </c>
      <c r="J169" t="s">
        <v>562</v>
      </c>
      <c r="K169">
        <v>60</v>
      </c>
      <c r="L169">
        <v>350</v>
      </c>
      <c r="M169">
        <v>40</v>
      </c>
      <c r="N169">
        <v>21000</v>
      </c>
      <c r="O169" t="s">
        <v>89</v>
      </c>
      <c r="P169" t="s">
        <v>72</v>
      </c>
      <c r="Q169">
        <v>28000</v>
      </c>
      <c r="R169" t="s">
        <v>72</v>
      </c>
      <c r="S169" t="s">
        <v>563</v>
      </c>
      <c r="T169" t="s">
        <v>564</v>
      </c>
      <c r="U169" t="s">
        <v>90</v>
      </c>
      <c r="V169" t="s">
        <v>72</v>
      </c>
      <c r="W169" t="s">
        <v>76</v>
      </c>
      <c r="X169" t="s">
        <v>119</v>
      </c>
      <c r="Y169">
        <v>0</v>
      </c>
      <c r="Z169" t="s">
        <v>72</v>
      </c>
      <c r="AA169" t="s">
        <v>72</v>
      </c>
      <c r="AB169" t="s">
        <v>72</v>
      </c>
      <c r="AC169" t="s">
        <v>72</v>
      </c>
      <c r="AD169" t="s">
        <v>655</v>
      </c>
      <c r="AE169">
        <v>40</v>
      </c>
      <c r="AF169" t="s">
        <v>79</v>
      </c>
      <c r="AG169" t="s">
        <v>94</v>
      </c>
      <c r="AH169" t="s">
        <v>95</v>
      </c>
      <c r="AI169" t="s">
        <v>121</v>
      </c>
      <c r="AJ169" t="s">
        <v>97</v>
      </c>
      <c r="AK169">
        <v>0</v>
      </c>
      <c r="AL169">
        <v>0</v>
      </c>
      <c r="AM169">
        <v>0</v>
      </c>
      <c r="AN169" t="s">
        <v>192</v>
      </c>
      <c r="AO169" t="s">
        <v>107</v>
      </c>
      <c r="AP169" t="s">
        <v>99</v>
      </c>
      <c r="AQ169" t="s">
        <v>72</v>
      </c>
      <c r="AR169" t="s">
        <v>72</v>
      </c>
      <c r="AS169" t="s">
        <v>72</v>
      </c>
      <c r="AT169" t="s">
        <v>72</v>
      </c>
      <c r="AU169" t="s">
        <v>72</v>
      </c>
      <c r="AV169" t="s">
        <v>567</v>
      </c>
      <c r="AW169" t="s">
        <v>72</v>
      </c>
      <c r="AX169" t="s">
        <v>568</v>
      </c>
      <c r="AY169">
        <v>26.259700800000001</v>
      </c>
      <c r="AZ169">
        <v>90</v>
      </c>
      <c r="BA169">
        <v>0</v>
      </c>
      <c r="BB169">
        <v>472.89999390000003</v>
      </c>
      <c r="BC169">
        <v>-0.15618499999999999</v>
      </c>
      <c r="BD169">
        <v>0.19417899999999999</v>
      </c>
      <c r="BE169">
        <v>25</v>
      </c>
      <c r="BF169">
        <v>7.0389198999999998</v>
      </c>
      <c r="BG169">
        <v>0.474074</v>
      </c>
      <c r="BH169">
        <v>3.0797099999999999</v>
      </c>
      <c r="BI169">
        <v>0.74844299999999997</v>
      </c>
      <c r="BJ169">
        <v>142.5220032</v>
      </c>
      <c r="BK169">
        <v>7</v>
      </c>
      <c r="BL169">
        <v>43.047500599999999</v>
      </c>
      <c r="BM169">
        <v>91.001403800000006</v>
      </c>
      <c r="BN169">
        <v>6096.1699219000002</v>
      </c>
      <c r="BO169">
        <v>162.3000031</v>
      </c>
      <c r="BP169">
        <v>256</v>
      </c>
      <c r="BQ169">
        <v>6</v>
      </c>
      <c r="BR169">
        <v>7</v>
      </c>
    </row>
    <row r="170" spans="1:70" x14ac:dyDescent="0.25">
      <c r="A170">
        <v>168</v>
      </c>
      <c r="B170">
        <v>10245</v>
      </c>
      <c r="C170">
        <v>88.40925</v>
      </c>
      <c r="D170">
        <v>27.056639000000001</v>
      </c>
      <c r="E170" t="s">
        <v>656</v>
      </c>
      <c r="F170">
        <v>2</v>
      </c>
      <c r="G170" t="s">
        <v>276</v>
      </c>
      <c r="H170" t="s">
        <v>657</v>
      </c>
      <c r="I170" t="s">
        <v>72</v>
      </c>
      <c r="J170" t="s">
        <v>88</v>
      </c>
      <c r="K170">
        <v>80</v>
      </c>
      <c r="L170">
        <v>50</v>
      </c>
      <c r="M170">
        <v>80</v>
      </c>
      <c r="N170">
        <v>4000</v>
      </c>
      <c r="O170" t="s">
        <v>89</v>
      </c>
      <c r="P170" t="s">
        <v>72</v>
      </c>
      <c r="Q170">
        <v>8000</v>
      </c>
      <c r="R170" t="s">
        <v>72</v>
      </c>
      <c r="S170" t="s">
        <v>73</v>
      </c>
      <c r="T170" t="s">
        <v>74</v>
      </c>
      <c r="U170" t="s">
        <v>90</v>
      </c>
      <c r="V170" t="s">
        <v>72</v>
      </c>
      <c r="W170" t="s">
        <v>299</v>
      </c>
      <c r="X170" t="s">
        <v>77</v>
      </c>
      <c r="Y170">
        <v>2016</v>
      </c>
      <c r="Z170" t="s">
        <v>72</v>
      </c>
      <c r="AA170" t="s">
        <v>72</v>
      </c>
      <c r="AB170" t="s">
        <v>72</v>
      </c>
      <c r="AC170" t="s">
        <v>72</v>
      </c>
      <c r="AD170" t="s">
        <v>658</v>
      </c>
      <c r="AE170">
        <v>0</v>
      </c>
      <c r="AF170" t="s">
        <v>148</v>
      </c>
      <c r="AG170" t="s">
        <v>94</v>
      </c>
      <c r="AH170" t="s">
        <v>95</v>
      </c>
      <c r="AI170" t="s">
        <v>210</v>
      </c>
      <c r="AJ170" t="s">
        <v>97</v>
      </c>
      <c r="AK170">
        <v>0</v>
      </c>
      <c r="AL170">
        <v>0</v>
      </c>
      <c r="AM170">
        <v>0</v>
      </c>
      <c r="AN170" t="s">
        <v>98</v>
      </c>
      <c r="AO170" t="s">
        <v>72</v>
      </c>
      <c r="AP170" t="s">
        <v>114</v>
      </c>
      <c r="AQ170" t="s">
        <v>72</v>
      </c>
      <c r="AR170" t="s">
        <v>72</v>
      </c>
      <c r="AS170" t="s">
        <v>72</v>
      </c>
      <c r="AT170" t="s">
        <v>72</v>
      </c>
      <c r="AU170" t="s">
        <v>72</v>
      </c>
      <c r="AV170" t="s">
        <v>72</v>
      </c>
      <c r="AW170" t="s">
        <v>72</v>
      </c>
      <c r="AX170" t="s">
        <v>72</v>
      </c>
      <c r="AY170">
        <v>28.0370998</v>
      </c>
      <c r="AZ170">
        <v>75</v>
      </c>
      <c r="BA170">
        <v>-1.28</v>
      </c>
      <c r="BB170">
        <v>468.4249878</v>
      </c>
      <c r="BC170">
        <v>-0.17583399999999999</v>
      </c>
      <c r="BD170">
        <v>0.17627599999999999</v>
      </c>
      <c r="BE170">
        <v>1550.0500488</v>
      </c>
      <c r="BF170">
        <v>4.9475799</v>
      </c>
      <c r="BG170">
        <v>0.44444499999999998</v>
      </c>
      <c r="BH170">
        <v>0.98141900000000004</v>
      </c>
      <c r="BI170">
        <v>0.56849400000000005</v>
      </c>
      <c r="BJ170">
        <v>1158.1199951000001</v>
      </c>
      <c r="BK170">
        <v>4</v>
      </c>
      <c r="BL170">
        <v>0</v>
      </c>
      <c r="BM170">
        <v>1598.8299560999999</v>
      </c>
      <c r="BN170">
        <v>8034.7402344000002</v>
      </c>
      <c r="BO170">
        <v>145.71299740000001</v>
      </c>
      <c r="BP170">
        <v>829</v>
      </c>
      <c r="BQ170">
        <v>1</v>
      </c>
      <c r="BR170">
        <v>7</v>
      </c>
    </row>
    <row r="171" spans="1:70" x14ac:dyDescent="0.25">
      <c r="A171">
        <v>169</v>
      </c>
      <c r="B171">
        <v>10246</v>
      </c>
      <c r="C171">
        <v>88.409323999999899</v>
      </c>
      <c r="D171">
        <v>27.0565649999999</v>
      </c>
      <c r="E171" t="s">
        <v>659</v>
      </c>
      <c r="F171">
        <v>1</v>
      </c>
      <c r="G171" t="s">
        <v>276</v>
      </c>
      <c r="H171" t="s">
        <v>657</v>
      </c>
      <c r="I171" t="s">
        <v>72</v>
      </c>
      <c r="J171" t="s">
        <v>88</v>
      </c>
      <c r="K171">
        <v>80</v>
      </c>
      <c r="L171">
        <v>50</v>
      </c>
      <c r="M171">
        <v>80</v>
      </c>
      <c r="N171">
        <v>4000</v>
      </c>
      <c r="O171" t="s">
        <v>89</v>
      </c>
      <c r="P171" t="s">
        <v>72</v>
      </c>
      <c r="Q171">
        <v>4000</v>
      </c>
      <c r="R171" t="s">
        <v>72</v>
      </c>
      <c r="S171" t="s">
        <v>73</v>
      </c>
      <c r="T171" t="s">
        <v>74</v>
      </c>
      <c r="U171" t="s">
        <v>90</v>
      </c>
      <c r="V171" t="s">
        <v>72</v>
      </c>
      <c r="W171" t="s">
        <v>299</v>
      </c>
      <c r="X171" t="s">
        <v>77</v>
      </c>
      <c r="Y171">
        <v>2015</v>
      </c>
      <c r="Z171" t="s">
        <v>72</v>
      </c>
      <c r="AA171" t="s">
        <v>72</v>
      </c>
      <c r="AB171" t="s">
        <v>72</v>
      </c>
      <c r="AC171" t="s">
        <v>72</v>
      </c>
      <c r="AD171" t="s">
        <v>658</v>
      </c>
      <c r="AE171">
        <v>0</v>
      </c>
      <c r="AF171" t="s">
        <v>148</v>
      </c>
      <c r="AG171" t="s">
        <v>94</v>
      </c>
      <c r="AH171" t="s">
        <v>95</v>
      </c>
      <c r="AI171" t="s">
        <v>210</v>
      </c>
      <c r="AJ171" t="s">
        <v>97</v>
      </c>
      <c r="AK171">
        <v>0</v>
      </c>
      <c r="AL171">
        <v>0</v>
      </c>
      <c r="AM171">
        <v>0</v>
      </c>
      <c r="AN171" t="s">
        <v>98</v>
      </c>
      <c r="AO171" t="s">
        <v>72</v>
      </c>
      <c r="AP171" t="s">
        <v>114</v>
      </c>
      <c r="AQ171" t="s">
        <v>72</v>
      </c>
      <c r="AR171" t="s">
        <v>72</v>
      </c>
      <c r="AS171" t="s">
        <v>72</v>
      </c>
      <c r="AT171" t="s">
        <v>72</v>
      </c>
      <c r="AU171" t="s">
        <v>72</v>
      </c>
      <c r="AV171" t="s">
        <v>72</v>
      </c>
      <c r="AW171" t="s">
        <v>72</v>
      </c>
      <c r="AX171" t="s">
        <v>72</v>
      </c>
      <c r="AY171">
        <v>28.548799500000001</v>
      </c>
      <c r="AZ171">
        <v>73</v>
      </c>
      <c r="BA171">
        <v>1.92</v>
      </c>
      <c r="BB171">
        <v>468.4249878</v>
      </c>
      <c r="BC171">
        <v>-0.17583399999999999</v>
      </c>
      <c r="BD171">
        <v>0.17627599999999999</v>
      </c>
      <c r="BE171">
        <v>1537.6999512</v>
      </c>
      <c r="BF171">
        <v>5.0803399000000002</v>
      </c>
      <c r="BG171">
        <v>0.52631600000000001</v>
      </c>
      <c r="BH171">
        <v>1.18506</v>
      </c>
      <c r="BI171">
        <v>0.57231200000000004</v>
      </c>
      <c r="BJ171">
        <v>1175.4000243999999</v>
      </c>
      <c r="BK171">
        <v>4</v>
      </c>
      <c r="BL171">
        <v>0</v>
      </c>
      <c r="BM171">
        <v>1588.7299805</v>
      </c>
      <c r="BN171">
        <v>8017.0600586</v>
      </c>
      <c r="BO171">
        <v>143.97300720000001</v>
      </c>
      <c r="BP171">
        <v>821</v>
      </c>
      <c r="BQ171">
        <v>1</v>
      </c>
      <c r="BR171">
        <v>7</v>
      </c>
    </row>
    <row r="172" spans="1:70" x14ac:dyDescent="0.25">
      <c r="A172">
        <v>170</v>
      </c>
      <c r="B172">
        <v>290</v>
      </c>
      <c r="C172">
        <v>88.412778000000003</v>
      </c>
      <c r="D172">
        <v>27.089917</v>
      </c>
      <c r="E172" t="s">
        <v>660</v>
      </c>
      <c r="F172">
        <v>0.5</v>
      </c>
      <c r="G172" t="s">
        <v>661</v>
      </c>
      <c r="H172" t="s">
        <v>72</v>
      </c>
      <c r="I172" t="s">
        <v>72</v>
      </c>
      <c r="J172" t="s">
        <v>72</v>
      </c>
      <c r="K172">
        <v>65</v>
      </c>
      <c r="L172">
        <v>40</v>
      </c>
      <c r="M172">
        <v>65</v>
      </c>
      <c r="N172">
        <v>0</v>
      </c>
      <c r="O172" t="s">
        <v>89</v>
      </c>
      <c r="P172" t="s">
        <v>72</v>
      </c>
      <c r="Q172">
        <v>0</v>
      </c>
      <c r="R172" t="s">
        <v>72</v>
      </c>
      <c r="S172" t="s">
        <v>563</v>
      </c>
      <c r="T172" t="s">
        <v>662</v>
      </c>
      <c r="U172" t="s">
        <v>90</v>
      </c>
      <c r="V172" t="s">
        <v>72</v>
      </c>
      <c r="W172" t="s">
        <v>76</v>
      </c>
      <c r="X172" t="s">
        <v>77</v>
      </c>
      <c r="Y172">
        <v>0</v>
      </c>
      <c r="Z172" t="s">
        <v>72</v>
      </c>
      <c r="AA172" t="s">
        <v>72</v>
      </c>
      <c r="AB172" t="s">
        <v>663</v>
      </c>
      <c r="AC172" t="s">
        <v>72</v>
      </c>
      <c r="AD172" t="s">
        <v>664</v>
      </c>
      <c r="AE172">
        <v>0</v>
      </c>
      <c r="AF172" t="s">
        <v>148</v>
      </c>
      <c r="AG172" t="s">
        <v>94</v>
      </c>
      <c r="AH172" t="s">
        <v>443</v>
      </c>
      <c r="AI172" t="s">
        <v>96</v>
      </c>
      <c r="AJ172" t="s">
        <v>97</v>
      </c>
      <c r="AK172">
        <v>0</v>
      </c>
      <c r="AL172">
        <v>0</v>
      </c>
      <c r="AM172">
        <v>0</v>
      </c>
      <c r="AN172" t="s">
        <v>271</v>
      </c>
      <c r="AO172" t="s">
        <v>107</v>
      </c>
      <c r="AP172" t="s">
        <v>665</v>
      </c>
      <c r="AQ172" t="s">
        <v>72</v>
      </c>
      <c r="AR172" t="s">
        <v>72</v>
      </c>
      <c r="AS172" t="s">
        <v>72</v>
      </c>
      <c r="AT172" t="s">
        <v>273</v>
      </c>
      <c r="AU172" t="s">
        <v>72</v>
      </c>
      <c r="AV172" t="s">
        <v>666</v>
      </c>
      <c r="AW172" t="s">
        <v>72</v>
      </c>
      <c r="AX172" t="s">
        <v>667</v>
      </c>
      <c r="AY172">
        <v>24.4850998</v>
      </c>
      <c r="AZ172">
        <v>96</v>
      </c>
      <c r="BA172">
        <v>-1.92</v>
      </c>
      <c r="BB172">
        <v>449.84600829999999</v>
      </c>
      <c r="BC172">
        <v>-0.14976500000000001</v>
      </c>
      <c r="BD172">
        <v>0.17477100000000001</v>
      </c>
      <c r="BE172">
        <v>0</v>
      </c>
      <c r="BF172">
        <v>6.8386402000000004</v>
      </c>
      <c r="BG172">
        <v>0.42063499999999998</v>
      </c>
      <c r="BH172">
        <v>2.7121799000000002</v>
      </c>
      <c r="BI172">
        <v>0.76750099999999999</v>
      </c>
      <c r="BJ172">
        <v>55.901699100000002</v>
      </c>
      <c r="BK172">
        <v>7</v>
      </c>
      <c r="BL172">
        <v>43.082698800000003</v>
      </c>
      <c r="BM172">
        <v>170.01800539999999</v>
      </c>
      <c r="BN172">
        <v>6635.2299805000002</v>
      </c>
      <c r="BO172">
        <v>160.7689972</v>
      </c>
      <c r="BP172">
        <v>246</v>
      </c>
      <c r="BQ172">
        <v>6</v>
      </c>
      <c r="BR172">
        <v>7</v>
      </c>
    </row>
    <row r="173" spans="1:70" x14ac:dyDescent="0.25">
      <c r="A173">
        <v>171</v>
      </c>
      <c r="B173">
        <v>8779</v>
      </c>
      <c r="C173">
        <v>88.413139000000001</v>
      </c>
      <c r="D173">
        <v>27.090083</v>
      </c>
      <c r="E173" t="s">
        <v>668</v>
      </c>
      <c r="F173">
        <v>2.5</v>
      </c>
      <c r="G173" t="s">
        <v>225</v>
      </c>
      <c r="H173" t="s">
        <v>561</v>
      </c>
      <c r="I173" t="s">
        <v>72</v>
      </c>
      <c r="J173" t="s">
        <v>562</v>
      </c>
      <c r="K173">
        <v>50</v>
      </c>
      <c r="L173">
        <v>200</v>
      </c>
      <c r="M173">
        <v>40</v>
      </c>
      <c r="N173">
        <v>10000</v>
      </c>
      <c r="O173" t="s">
        <v>89</v>
      </c>
      <c r="P173" t="s">
        <v>72</v>
      </c>
      <c r="Q173">
        <v>16000</v>
      </c>
      <c r="R173" t="s">
        <v>72</v>
      </c>
      <c r="S173" t="s">
        <v>563</v>
      </c>
      <c r="T173" t="s">
        <v>564</v>
      </c>
      <c r="U173" t="s">
        <v>90</v>
      </c>
      <c r="V173" t="s">
        <v>72</v>
      </c>
      <c r="W173" t="s">
        <v>76</v>
      </c>
      <c r="X173" t="s">
        <v>119</v>
      </c>
      <c r="Y173">
        <v>0</v>
      </c>
      <c r="Z173" t="s">
        <v>72</v>
      </c>
      <c r="AA173" t="s">
        <v>72</v>
      </c>
      <c r="AB173" t="s">
        <v>72</v>
      </c>
      <c r="AC173" t="s">
        <v>72</v>
      </c>
      <c r="AD173" t="s">
        <v>655</v>
      </c>
      <c r="AE173">
        <v>40</v>
      </c>
      <c r="AF173" t="s">
        <v>79</v>
      </c>
      <c r="AG173" t="s">
        <v>94</v>
      </c>
      <c r="AH173" t="s">
        <v>95</v>
      </c>
      <c r="AI173" t="s">
        <v>121</v>
      </c>
      <c r="AJ173" t="s">
        <v>97</v>
      </c>
      <c r="AK173">
        <v>0</v>
      </c>
      <c r="AL173">
        <v>0</v>
      </c>
      <c r="AM173">
        <v>0</v>
      </c>
      <c r="AN173" t="s">
        <v>192</v>
      </c>
      <c r="AO173" t="s">
        <v>82</v>
      </c>
      <c r="AP173" t="s">
        <v>99</v>
      </c>
      <c r="AQ173" t="s">
        <v>72</v>
      </c>
      <c r="AR173" t="s">
        <v>72</v>
      </c>
      <c r="AS173" t="s">
        <v>72</v>
      </c>
      <c r="AT173" t="s">
        <v>72</v>
      </c>
      <c r="AU173" t="s">
        <v>72</v>
      </c>
      <c r="AV173" t="s">
        <v>567</v>
      </c>
      <c r="AW173" t="s">
        <v>72</v>
      </c>
      <c r="AX173" t="s">
        <v>568</v>
      </c>
      <c r="AY173">
        <v>25.795499800000002</v>
      </c>
      <c r="AZ173">
        <v>88</v>
      </c>
      <c r="BA173">
        <v>0</v>
      </c>
      <c r="BB173">
        <v>484.81600950000001</v>
      </c>
      <c r="BC173">
        <v>-0.167574</v>
      </c>
      <c r="BD173">
        <v>0.20075200000000001</v>
      </c>
      <c r="BE173">
        <v>12.5</v>
      </c>
      <c r="BF173">
        <v>3.41289</v>
      </c>
      <c r="BG173">
        <v>0.5</v>
      </c>
      <c r="BH173">
        <v>-7.7924899999999999</v>
      </c>
      <c r="BI173">
        <v>0.76566599999999996</v>
      </c>
      <c r="BJ173">
        <v>25</v>
      </c>
      <c r="BK173">
        <v>7</v>
      </c>
      <c r="BL173">
        <v>42.9557991</v>
      </c>
      <c r="BM173">
        <v>194.05200199999999</v>
      </c>
      <c r="BN173">
        <v>6657.5400391000003</v>
      </c>
      <c r="BO173">
        <v>155.5559998</v>
      </c>
      <c r="BP173">
        <v>252</v>
      </c>
      <c r="BQ173">
        <v>6</v>
      </c>
      <c r="BR173">
        <v>7</v>
      </c>
    </row>
    <row r="174" spans="1:70" x14ac:dyDescent="0.25">
      <c r="A174">
        <v>172</v>
      </c>
      <c r="B174">
        <v>8778</v>
      </c>
      <c r="C174">
        <v>88.416528</v>
      </c>
      <c r="D174">
        <v>27.087667</v>
      </c>
      <c r="E174" t="s">
        <v>669</v>
      </c>
      <c r="F174">
        <v>2.5</v>
      </c>
      <c r="G174" t="s">
        <v>225</v>
      </c>
      <c r="H174" t="s">
        <v>561</v>
      </c>
      <c r="I174" t="s">
        <v>72</v>
      </c>
      <c r="J174" t="s">
        <v>562</v>
      </c>
      <c r="K174">
        <v>60</v>
      </c>
      <c r="L174">
        <v>200</v>
      </c>
      <c r="M174">
        <v>40</v>
      </c>
      <c r="N174">
        <v>12000</v>
      </c>
      <c r="O174" t="s">
        <v>89</v>
      </c>
      <c r="P174" t="s">
        <v>72</v>
      </c>
      <c r="Q174">
        <v>16000</v>
      </c>
      <c r="R174" t="s">
        <v>72</v>
      </c>
      <c r="S174" t="s">
        <v>563</v>
      </c>
      <c r="T174" t="s">
        <v>564</v>
      </c>
      <c r="U174" t="s">
        <v>90</v>
      </c>
      <c r="V174" t="s">
        <v>72</v>
      </c>
      <c r="W174" t="s">
        <v>76</v>
      </c>
      <c r="X174" t="s">
        <v>119</v>
      </c>
      <c r="Y174">
        <v>0</v>
      </c>
      <c r="Z174" t="s">
        <v>72</v>
      </c>
      <c r="AA174" t="s">
        <v>72</v>
      </c>
      <c r="AB174" t="s">
        <v>72</v>
      </c>
      <c r="AC174" t="s">
        <v>72</v>
      </c>
      <c r="AD174" t="s">
        <v>655</v>
      </c>
      <c r="AE174">
        <v>50</v>
      </c>
      <c r="AF174" t="s">
        <v>79</v>
      </c>
      <c r="AG174" t="s">
        <v>94</v>
      </c>
      <c r="AH174" t="s">
        <v>95</v>
      </c>
      <c r="AI174" t="s">
        <v>121</v>
      </c>
      <c r="AJ174" t="s">
        <v>97</v>
      </c>
      <c r="AK174">
        <v>0</v>
      </c>
      <c r="AL174">
        <v>0</v>
      </c>
      <c r="AM174">
        <v>0</v>
      </c>
      <c r="AN174" t="s">
        <v>192</v>
      </c>
      <c r="AO174" t="s">
        <v>107</v>
      </c>
      <c r="AP174" t="s">
        <v>99</v>
      </c>
      <c r="AQ174" t="s">
        <v>72</v>
      </c>
      <c r="AR174" t="s">
        <v>72</v>
      </c>
      <c r="AS174" t="s">
        <v>72</v>
      </c>
      <c r="AT174" t="s">
        <v>72</v>
      </c>
      <c r="AU174" t="s">
        <v>72</v>
      </c>
      <c r="AV174" t="s">
        <v>567</v>
      </c>
      <c r="AW174" t="s">
        <v>72</v>
      </c>
      <c r="AX174" t="s">
        <v>568</v>
      </c>
      <c r="AY174">
        <v>35.253601099999997</v>
      </c>
      <c r="AZ174">
        <v>111</v>
      </c>
      <c r="BA174">
        <v>0</v>
      </c>
      <c r="BB174">
        <v>531.27697750000004</v>
      </c>
      <c r="BC174">
        <v>-0.132134</v>
      </c>
      <c r="BD174">
        <v>0.142097</v>
      </c>
      <c r="BE174">
        <v>12.5</v>
      </c>
      <c r="BF174">
        <v>4.8069401000000003</v>
      </c>
      <c r="BG174">
        <v>0.47826099999999999</v>
      </c>
      <c r="BH174">
        <v>1.4580200000000001</v>
      </c>
      <c r="BI174">
        <v>0.78025</v>
      </c>
      <c r="BJ174">
        <v>39.528499600000004</v>
      </c>
      <c r="BK174">
        <v>7</v>
      </c>
      <c r="BL174">
        <v>43.112598400000003</v>
      </c>
      <c r="BM174">
        <v>50</v>
      </c>
      <c r="BN174">
        <v>7085.0600586</v>
      </c>
      <c r="BO174">
        <v>205.1150055</v>
      </c>
      <c r="BP174">
        <v>224</v>
      </c>
      <c r="BQ174">
        <v>6</v>
      </c>
      <c r="BR174">
        <v>7</v>
      </c>
    </row>
    <row r="175" spans="1:70" x14ac:dyDescent="0.25">
      <c r="A175">
        <v>173</v>
      </c>
      <c r="B175">
        <v>10597</v>
      </c>
      <c r="C175">
        <v>88.424747999999894</v>
      </c>
      <c r="D175">
        <v>27.054033</v>
      </c>
      <c r="E175" t="s">
        <v>670</v>
      </c>
      <c r="F175">
        <v>10</v>
      </c>
      <c r="G175" t="s">
        <v>671</v>
      </c>
      <c r="H175" t="s">
        <v>72</v>
      </c>
      <c r="I175" t="s">
        <v>72</v>
      </c>
      <c r="J175" t="s">
        <v>88</v>
      </c>
      <c r="K175">
        <v>600</v>
      </c>
      <c r="L175">
        <v>125</v>
      </c>
      <c r="M175">
        <v>350</v>
      </c>
      <c r="N175">
        <v>75000</v>
      </c>
      <c r="O175" t="s">
        <v>89</v>
      </c>
      <c r="P175" t="s">
        <v>72</v>
      </c>
      <c r="Q175">
        <v>750000</v>
      </c>
      <c r="R175" t="s">
        <v>72</v>
      </c>
      <c r="S175" t="s">
        <v>73</v>
      </c>
      <c r="T175" t="s">
        <v>74</v>
      </c>
      <c r="U175" t="s">
        <v>90</v>
      </c>
      <c r="V175" t="s">
        <v>672</v>
      </c>
      <c r="W175" t="s">
        <v>92</v>
      </c>
      <c r="X175" t="s">
        <v>673</v>
      </c>
      <c r="Y175">
        <v>2002</v>
      </c>
      <c r="Z175" t="s">
        <v>72</v>
      </c>
      <c r="AA175" t="s">
        <v>72</v>
      </c>
      <c r="AB175" t="s">
        <v>72</v>
      </c>
      <c r="AC175" t="s">
        <v>72</v>
      </c>
      <c r="AD175" t="s">
        <v>674</v>
      </c>
      <c r="AE175">
        <v>0</v>
      </c>
      <c r="AF175" t="s">
        <v>186</v>
      </c>
      <c r="AG175" t="s">
        <v>94</v>
      </c>
      <c r="AH175" t="s">
        <v>95</v>
      </c>
      <c r="AI175" t="s">
        <v>121</v>
      </c>
      <c r="AJ175" t="s">
        <v>113</v>
      </c>
      <c r="AK175">
        <v>0</v>
      </c>
      <c r="AL175">
        <v>0</v>
      </c>
      <c r="AM175">
        <v>0</v>
      </c>
      <c r="AN175" t="s">
        <v>98</v>
      </c>
      <c r="AO175" t="s">
        <v>82</v>
      </c>
      <c r="AP175" t="s">
        <v>99</v>
      </c>
      <c r="AQ175" t="s">
        <v>72</v>
      </c>
      <c r="AR175" t="s">
        <v>72</v>
      </c>
      <c r="AS175" t="s">
        <v>72</v>
      </c>
      <c r="AT175" t="s">
        <v>72</v>
      </c>
      <c r="AU175" t="s">
        <v>72</v>
      </c>
      <c r="AV175" t="s">
        <v>72</v>
      </c>
      <c r="AW175" t="s">
        <v>72</v>
      </c>
      <c r="AX175" t="s">
        <v>72</v>
      </c>
      <c r="AY175">
        <v>27.061700800000001</v>
      </c>
      <c r="AZ175">
        <v>106</v>
      </c>
      <c r="BA175">
        <v>-1.28</v>
      </c>
      <c r="BB175">
        <v>440.13900760000001</v>
      </c>
      <c r="BC175">
        <v>-0.13380400000000001</v>
      </c>
      <c r="BD175">
        <v>0.16262599999999999</v>
      </c>
      <c r="BE175">
        <v>95.197197000000003</v>
      </c>
      <c r="BF175">
        <v>5.3945698999999996</v>
      </c>
      <c r="BG175">
        <v>0.504274</v>
      </c>
      <c r="BH175">
        <v>1.4098999999999999</v>
      </c>
      <c r="BI175">
        <v>1.26061</v>
      </c>
      <c r="BJ175">
        <v>112.5</v>
      </c>
      <c r="BK175">
        <v>4</v>
      </c>
      <c r="BL175">
        <v>36.647800400000001</v>
      </c>
      <c r="BM175">
        <v>127.4749985</v>
      </c>
      <c r="BN175">
        <v>6820.0097655999998</v>
      </c>
      <c r="BO175">
        <v>86.633499099999995</v>
      </c>
      <c r="BP175">
        <v>246</v>
      </c>
      <c r="BQ175">
        <v>6</v>
      </c>
      <c r="BR175">
        <v>7</v>
      </c>
    </row>
    <row r="176" spans="1:70" x14ac:dyDescent="0.25">
      <c r="A176">
        <v>174</v>
      </c>
      <c r="B176">
        <v>10486</v>
      </c>
      <c r="C176">
        <v>88.426056000000003</v>
      </c>
      <c r="D176">
        <v>27.070333000000002</v>
      </c>
      <c r="E176" t="s">
        <v>675</v>
      </c>
      <c r="F176">
        <v>0.2</v>
      </c>
      <c r="G176" t="s">
        <v>102</v>
      </c>
      <c r="H176" t="s">
        <v>72</v>
      </c>
      <c r="I176" t="s">
        <v>72</v>
      </c>
      <c r="J176" t="s">
        <v>88</v>
      </c>
      <c r="K176">
        <v>10</v>
      </c>
      <c r="L176">
        <v>2</v>
      </c>
      <c r="M176">
        <v>0</v>
      </c>
      <c r="N176">
        <v>20</v>
      </c>
      <c r="O176" t="s">
        <v>89</v>
      </c>
      <c r="P176" t="s">
        <v>72</v>
      </c>
      <c r="Q176">
        <v>4</v>
      </c>
      <c r="R176" t="s">
        <v>72</v>
      </c>
      <c r="S176" t="s">
        <v>73</v>
      </c>
      <c r="T176" t="s">
        <v>74</v>
      </c>
      <c r="U176" t="s">
        <v>90</v>
      </c>
      <c r="V176" t="s">
        <v>72</v>
      </c>
      <c r="W176" t="s">
        <v>76</v>
      </c>
      <c r="X176" t="s">
        <v>77</v>
      </c>
      <c r="Y176">
        <v>2015</v>
      </c>
      <c r="Z176" t="s">
        <v>72</v>
      </c>
      <c r="AA176" t="s">
        <v>72</v>
      </c>
      <c r="AB176" t="s">
        <v>72</v>
      </c>
      <c r="AC176" t="s">
        <v>72</v>
      </c>
      <c r="AD176" t="s">
        <v>676</v>
      </c>
      <c r="AE176">
        <v>0</v>
      </c>
      <c r="AF176" t="s">
        <v>79</v>
      </c>
      <c r="AG176" t="s">
        <v>128</v>
      </c>
      <c r="AH176" t="s">
        <v>95</v>
      </c>
      <c r="AI176" t="s">
        <v>96</v>
      </c>
      <c r="AJ176" t="s">
        <v>113</v>
      </c>
      <c r="AK176">
        <v>0</v>
      </c>
      <c r="AL176">
        <v>0</v>
      </c>
      <c r="AM176">
        <v>0</v>
      </c>
      <c r="AN176" t="s">
        <v>192</v>
      </c>
      <c r="AO176" t="s">
        <v>72</v>
      </c>
      <c r="AP176" t="s">
        <v>99</v>
      </c>
      <c r="AQ176" t="s">
        <v>72</v>
      </c>
      <c r="AR176" t="s">
        <v>72</v>
      </c>
      <c r="AS176" t="s">
        <v>72</v>
      </c>
      <c r="AT176" t="s">
        <v>72</v>
      </c>
      <c r="AU176" t="s">
        <v>72</v>
      </c>
      <c r="AV176" t="s">
        <v>72</v>
      </c>
      <c r="AW176" t="s">
        <v>72</v>
      </c>
      <c r="AX176" t="s">
        <v>72</v>
      </c>
      <c r="AY176">
        <v>22.874900799999999</v>
      </c>
      <c r="AZ176">
        <v>97</v>
      </c>
      <c r="BA176">
        <v>1.92</v>
      </c>
      <c r="BB176">
        <v>420.94198610000001</v>
      </c>
      <c r="BC176">
        <v>-0.160381</v>
      </c>
      <c r="BD176">
        <v>0.19823499999999999</v>
      </c>
      <c r="BE176">
        <v>0</v>
      </c>
      <c r="BF176">
        <v>4.48733</v>
      </c>
      <c r="BG176">
        <v>0.51587300000000003</v>
      </c>
      <c r="BH176">
        <v>-0.16697100000000001</v>
      </c>
      <c r="BI176">
        <v>1.2676099999999999</v>
      </c>
      <c r="BJ176">
        <v>285.59100339999998</v>
      </c>
      <c r="BK176">
        <v>4</v>
      </c>
      <c r="BL176">
        <v>25.905300100000002</v>
      </c>
      <c r="BM176">
        <v>661.08300780000002</v>
      </c>
      <c r="BN176">
        <v>7320.6899414</v>
      </c>
      <c r="BO176">
        <v>121.4300003</v>
      </c>
      <c r="BP176">
        <v>321</v>
      </c>
      <c r="BQ176">
        <v>6</v>
      </c>
      <c r="BR176">
        <v>7</v>
      </c>
    </row>
    <row r="177" spans="1:70" x14ac:dyDescent="0.25">
      <c r="A177">
        <v>175</v>
      </c>
      <c r="B177">
        <v>10748</v>
      </c>
      <c r="C177">
        <v>88.426606000000007</v>
      </c>
      <c r="D177">
        <v>27.066759000000001</v>
      </c>
      <c r="E177" t="s">
        <v>677</v>
      </c>
      <c r="F177">
        <v>1</v>
      </c>
      <c r="G177" t="s">
        <v>130</v>
      </c>
      <c r="H177" t="s">
        <v>72</v>
      </c>
      <c r="I177" t="s">
        <v>72</v>
      </c>
      <c r="J177" t="s">
        <v>88</v>
      </c>
      <c r="K177">
        <v>5</v>
      </c>
      <c r="L177">
        <v>1</v>
      </c>
      <c r="M177">
        <v>1</v>
      </c>
      <c r="N177">
        <v>5</v>
      </c>
      <c r="O177" t="s">
        <v>89</v>
      </c>
      <c r="P177" t="s">
        <v>72</v>
      </c>
      <c r="Q177">
        <v>5</v>
      </c>
      <c r="R177" t="s">
        <v>72</v>
      </c>
      <c r="S177" t="s">
        <v>73</v>
      </c>
      <c r="T177" t="s">
        <v>74</v>
      </c>
      <c r="U177" t="s">
        <v>90</v>
      </c>
      <c r="V177" t="s">
        <v>678</v>
      </c>
      <c r="W177" t="s">
        <v>76</v>
      </c>
      <c r="X177" t="s">
        <v>77</v>
      </c>
      <c r="Y177">
        <v>2015</v>
      </c>
      <c r="Z177" t="s">
        <v>72</v>
      </c>
      <c r="AA177" t="s">
        <v>72</v>
      </c>
      <c r="AB177" t="s">
        <v>72</v>
      </c>
      <c r="AC177" t="s">
        <v>72</v>
      </c>
      <c r="AD177" t="s">
        <v>679</v>
      </c>
      <c r="AE177">
        <v>0</v>
      </c>
      <c r="AF177" t="s">
        <v>79</v>
      </c>
      <c r="AG177" t="s">
        <v>128</v>
      </c>
      <c r="AH177" t="s">
        <v>95</v>
      </c>
      <c r="AI177" t="s">
        <v>121</v>
      </c>
      <c r="AJ177" t="s">
        <v>97</v>
      </c>
      <c r="AK177">
        <v>0</v>
      </c>
      <c r="AL177">
        <v>0</v>
      </c>
      <c r="AM177">
        <v>0</v>
      </c>
      <c r="AN177" t="s">
        <v>233</v>
      </c>
      <c r="AO177" t="s">
        <v>82</v>
      </c>
      <c r="AP177" t="s">
        <v>272</v>
      </c>
      <c r="AQ177" t="s">
        <v>72</v>
      </c>
      <c r="AR177" t="s">
        <v>72</v>
      </c>
      <c r="AS177" t="s">
        <v>72</v>
      </c>
      <c r="AT177" t="s">
        <v>72</v>
      </c>
      <c r="AU177" t="s">
        <v>72</v>
      </c>
      <c r="AV177" t="s">
        <v>72</v>
      </c>
      <c r="AW177" t="s">
        <v>72</v>
      </c>
      <c r="AX177" t="s">
        <v>307</v>
      </c>
      <c r="AY177">
        <v>13.4956999</v>
      </c>
      <c r="AZ177">
        <v>145</v>
      </c>
      <c r="BA177">
        <v>0</v>
      </c>
      <c r="BB177">
        <v>410.72399899999999</v>
      </c>
      <c r="BC177">
        <v>-0.108242</v>
      </c>
      <c r="BD177">
        <v>0.13118299999999999</v>
      </c>
      <c r="BE177">
        <v>51.538799300000001</v>
      </c>
      <c r="BF177">
        <v>6.5918998999999996</v>
      </c>
      <c r="BG177">
        <v>0.5</v>
      </c>
      <c r="BH177">
        <v>1.1420701</v>
      </c>
      <c r="BI177">
        <v>1.2987601</v>
      </c>
      <c r="BJ177">
        <v>35.355300900000003</v>
      </c>
      <c r="BK177">
        <v>7</v>
      </c>
      <c r="BL177">
        <v>19.094200099999998</v>
      </c>
      <c r="BM177">
        <v>335.87600709999998</v>
      </c>
      <c r="BN177">
        <v>7397.8100586</v>
      </c>
      <c r="BO177">
        <v>90</v>
      </c>
      <c r="BP177">
        <v>172</v>
      </c>
      <c r="BQ177">
        <v>6</v>
      </c>
      <c r="BR177">
        <v>6</v>
      </c>
    </row>
    <row r="178" spans="1:70" x14ac:dyDescent="0.25">
      <c r="A178">
        <v>176</v>
      </c>
      <c r="B178">
        <v>10428</v>
      </c>
      <c r="C178">
        <v>88.426754000000003</v>
      </c>
      <c r="D178">
        <v>27.066890000000001</v>
      </c>
      <c r="E178" t="s">
        <v>680</v>
      </c>
      <c r="F178">
        <v>1</v>
      </c>
      <c r="G178" t="s">
        <v>681</v>
      </c>
      <c r="H178" t="s">
        <v>581</v>
      </c>
      <c r="I178" t="s">
        <v>72</v>
      </c>
      <c r="J178" t="s">
        <v>88</v>
      </c>
      <c r="K178">
        <v>5</v>
      </c>
      <c r="L178">
        <v>1</v>
      </c>
      <c r="M178">
        <v>1</v>
      </c>
      <c r="N178">
        <v>5</v>
      </c>
      <c r="O178" t="s">
        <v>89</v>
      </c>
      <c r="P178" t="s">
        <v>72</v>
      </c>
      <c r="Q178">
        <v>5</v>
      </c>
      <c r="R178" t="s">
        <v>72</v>
      </c>
      <c r="S178" t="s">
        <v>73</v>
      </c>
      <c r="T178" t="s">
        <v>74</v>
      </c>
      <c r="U178" t="s">
        <v>90</v>
      </c>
      <c r="V178" t="s">
        <v>72</v>
      </c>
      <c r="W178" t="s">
        <v>76</v>
      </c>
      <c r="X178" t="s">
        <v>77</v>
      </c>
      <c r="Y178">
        <v>2015</v>
      </c>
      <c r="Z178" t="s">
        <v>72</v>
      </c>
      <c r="AA178" t="s">
        <v>72</v>
      </c>
      <c r="AB178" t="s">
        <v>72</v>
      </c>
      <c r="AC178" t="s">
        <v>72</v>
      </c>
      <c r="AD178" t="s">
        <v>682</v>
      </c>
    </row>
    <row r="179" spans="1:70" x14ac:dyDescent="0.25">
      <c r="A179" t="s">
        <v>0</v>
      </c>
    </row>
    <row r="180" spans="1:70" x14ac:dyDescent="0.25">
      <c r="A180" s="1"/>
      <c r="B180">
        <v>0</v>
      </c>
      <c r="C180" t="s">
        <v>79</v>
      </c>
      <c r="D180" t="s">
        <v>128</v>
      </c>
      <c r="E180" t="s">
        <v>95</v>
      </c>
      <c r="F180" t="s">
        <v>121</v>
      </c>
      <c r="G180" t="s">
        <v>97</v>
      </c>
      <c r="H180">
        <v>0</v>
      </c>
      <c r="I180">
        <v>0</v>
      </c>
      <c r="J180">
        <v>0</v>
      </c>
      <c r="K180" t="s">
        <v>233</v>
      </c>
      <c r="L180" t="s">
        <v>72</v>
      </c>
      <c r="M180" t="s">
        <v>272</v>
      </c>
      <c r="N180" t="s">
        <v>72</v>
      </c>
      <c r="O180" t="s">
        <v>72</v>
      </c>
      <c r="P180" t="s">
        <v>72</v>
      </c>
      <c r="Q180" t="s">
        <v>72</v>
      </c>
      <c r="R180" t="s">
        <v>72</v>
      </c>
      <c r="S180" t="s">
        <v>72</v>
      </c>
      <c r="T180" t="s">
        <v>72</v>
      </c>
      <c r="U180" t="s">
        <v>72</v>
      </c>
      <c r="V180">
        <v>13.336600300000001</v>
      </c>
      <c r="W180">
        <v>135</v>
      </c>
      <c r="X180">
        <v>-1.28</v>
      </c>
      <c r="Y180">
        <v>416.75698849999998</v>
      </c>
      <c r="Z180">
        <v>-0.13214500000000001</v>
      </c>
      <c r="AA180">
        <v>0.153028</v>
      </c>
      <c r="AB180">
        <v>45.069400799999997</v>
      </c>
      <c r="AC180">
        <v>6.1950002</v>
      </c>
      <c r="AD180">
        <v>0.44444499999999998</v>
      </c>
      <c r="AE180">
        <v>0.36111599999999999</v>
      </c>
      <c r="AF180">
        <v>1.2990699999999999</v>
      </c>
      <c r="AG180">
        <v>50</v>
      </c>
      <c r="AH180">
        <v>7</v>
      </c>
      <c r="AI180">
        <v>19.094200099999998</v>
      </c>
      <c r="AJ180">
        <v>353.55300899999997</v>
      </c>
      <c r="AK180">
        <v>7381.6201172000001</v>
      </c>
      <c r="AL180">
        <v>117.64600369999999</v>
      </c>
      <c r="AM180">
        <v>170</v>
      </c>
      <c r="AN180">
        <v>6</v>
      </c>
      <c r="AO180">
        <v>6</v>
      </c>
    </row>
    <row r="181" spans="1:70" x14ac:dyDescent="0.25">
      <c r="A181">
        <v>178</v>
      </c>
      <c r="B181">
        <v>713</v>
      </c>
      <c r="C181">
        <v>88.427138999999897</v>
      </c>
      <c r="D181">
        <v>27.0669439999999</v>
      </c>
      <c r="E181" t="s">
        <v>683</v>
      </c>
      <c r="F181">
        <v>0</v>
      </c>
      <c r="G181" t="s">
        <v>681</v>
      </c>
      <c r="H181" t="s">
        <v>72</v>
      </c>
      <c r="I181" t="s">
        <v>72</v>
      </c>
      <c r="J181" t="s">
        <v>72</v>
      </c>
      <c r="K181">
        <v>1</v>
      </c>
      <c r="L181">
        <v>1</v>
      </c>
      <c r="M181">
        <v>1</v>
      </c>
      <c r="N181">
        <v>0</v>
      </c>
      <c r="O181" t="s">
        <v>89</v>
      </c>
      <c r="P181" t="s">
        <v>684</v>
      </c>
      <c r="Q181">
        <v>0</v>
      </c>
      <c r="R181" t="s">
        <v>72</v>
      </c>
      <c r="S181" t="s">
        <v>73</v>
      </c>
      <c r="T181" t="s">
        <v>74</v>
      </c>
      <c r="U181" t="s">
        <v>90</v>
      </c>
      <c r="V181" t="s">
        <v>678</v>
      </c>
      <c r="W181" t="s">
        <v>76</v>
      </c>
      <c r="X181" t="s">
        <v>77</v>
      </c>
      <c r="Y181">
        <v>2015</v>
      </c>
      <c r="Z181" t="s">
        <v>72</v>
      </c>
      <c r="AA181" t="s">
        <v>72</v>
      </c>
      <c r="AB181" t="s">
        <v>72</v>
      </c>
      <c r="AC181" t="s">
        <v>72</v>
      </c>
      <c r="AD181" t="s">
        <v>685</v>
      </c>
      <c r="AE181">
        <v>0</v>
      </c>
      <c r="AF181" t="s">
        <v>148</v>
      </c>
      <c r="AG181" t="s">
        <v>128</v>
      </c>
      <c r="AH181" t="s">
        <v>95</v>
      </c>
      <c r="AI181" t="s">
        <v>121</v>
      </c>
      <c r="AJ181" t="s">
        <v>97</v>
      </c>
      <c r="AK181">
        <v>0</v>
      </c>
      <c r="AL181">
        <v>0</v>
      </c>
      <c r="AM181">
        <v>0</v>
      </c>
      <c r="AN181" t="s">
        <v>271</v>
      </c>
      <c r="AO181" t="s">
        <v>82</v>
      </c>
      <c r="AP181" t="s">
        <v>686</v>
      </c>
      <c r="AQ181" t="s">
        <v>72</v>
      </c>
      <c r="AR181" t="s">
        <v>72</v>
      </c>
      <c r="AS181" t="s">
        <v>72</v>
      </c>
      <c r="AT181" t="s">
        <v>273</v>
      </c>
      <c r="AU181" t="s">
        <v>72</v>
      </c>
      <c r="AV181" t="s">
        <v>687</v>
      </c>
      <c r="AW181" t="s">
        <v>688</v>
      </c>
      <c r="AX181" t="s">
        <v>689</v>
      </c>
      <c r="AY181">
        <v>3.2376900000000002</v>
      </c>
      <c r="AZ181">
        <v>180</v>
      </c>
      <c r="BA181">
        <v>-1.28</v>
      </c>
      <c r="BB181">
        <v>416.75698849999998</v>
      </c>
      <c r="BC181">
        <v>-9.1835799999999995E-2</v>
      </c>
      <c r="BD181">
        <v>0.12856999999999999</v>
      </c>
      <c r="BE181">
        <v>53.033000899999998</v>
      </c>
      <c r="BF181">
        <v>8.2312402999999996</v>
      </c>
      <c r="BG181">
        <v>0.722221</v>
      </c>
      <c r="BH181">
        <v>-8.2127900000000004E-2</v>
      </c>
      <c r="BI181">
        <v>1.3023400000000001</v>
      </c>
      <c r="BJ181">
        <v>87.5</v>
      </c>
      <c r="BK181">
        <v>7</v>
      </c>
      <c r="BL181">
        <v>18.980400100000001</v>
      </c>
      <c r="BM181">
        <v>389.30999759999997</v>
      </c>
      <c r="BN181">
        <v>7342.1401366999999</v>
      </c>
      <c r="BO181">
        <v>45</v>
      </c>
      <c r="BP181">
        <v>164</v>
      </c>
      <c r="BQ181">
        <v>6</v>
      </c>
      <c r="BR181">
        <v>6</v>
      </c>
    </row>
    <row r="182" spans="1:70" x14ac:dyDescent="0.25">
      <c r="A182">
        <v>179</v>
      </c>
      <c r="B182">
        <v>10588</v>
      </c>
      <c r="C182">
        <v>88.428134</v>
      </c>
      <c r="D182">
        <v>27.065048000000001</v>
      </c>
      <c r="E182" t="s">
        <v>690</v>
      </c>
      <c r="F182">
        <v>3</v>
      </c>
      <c r="G182" t="s">
        <v>691</v>
      </c>
      <c r="H182" t="s">
        <v>72</v>
      </c>
      <c r="I182" t="s">
        <v>72</v>
      </c>
      <c r="J182" t="s">
        <v>88</v>
      </c>
      <c r="K182">
        <v>0</v>
      </c>
      <c r="L182">
        <v>100</v>
      </c>
      <c r="M182">
        <v>0</v>
      </c>
      <c r="N182">
        <v>0</v>
      </c>
      <c r="O182" t="s">
        <v>89</v>
      </c>
      <c r="P182" t="s">
        <v>72</v>
      </c>
      <c r="Q182">
        <v>0</v>
      </c>
      <c r="R182" t="s">
        <v>72</v>
      </c>
      <c r="S182" t="s">
        <v>73</v>
      </c>
      <c r="T182" t="s">
        <v>74</v>
      </c>
      <c r="U182" t="s">
        <v>90</v>
      </c>
      <c r="V182" t="s">
        <v>692</v>
      </c>
      <c r="W182" t="s">
        <v>76</v>
      </c>
      <c r="X182" t="s">
        <v>119</v>
      </c>
      <c r="Y182">
        <v>1968</v>
      </c>
      <c r="Z182" t="s">
        <v>72</v>
      </c>
      <c r="AA182" t="s">
        <v>72</v>
      </c>
      <c r="AB182" t="s">
        <v>72</v>
      </c>
      <c r="AC182" t="s">
        <v>72</v>
      </c>
      <c r="AD182" t="s">
        <v>693</v>
      </c>
      <c r="AE182">
        <v>0</v>
      </c>
      <c r="AF182" t="s">
        <v>79</v>
      </c>
      <c r="AG182" t="s">
        <v>128</v>
      </c>
      <c r="AH182" t="s">
        <v>95</v>
      </c>
      <c r="AI182" t="s">
        <v>96</v>
      </c>
      <c r="AJ182" t="s">
        <v>97</v>
      </c>
      <c r="AK182">
        <v>0</v>
      </c>
      <c r="AL182">
        <v>0</v>
      </c>
      <c r="AM182">
        <v>0</v>
      </c>
      <c r="AN182" t="s">
        <v>98</v>
      </c>
      <c r="AO182" t="s">
        <v>72</v>
      </c>
      <c r="AP182" t="s">
        <v>99</v>
      </c>
      <c r="AQ182" t="s">
        <v>72</v>
      </c>
      <c r="AR182" t="s">
        <v>72</v>
      </c>
      <c r="AS182" t="s">
        <v>72</v>
      </c>
      <c r="AT182" t="s">
        <v>694</v>
      </c>
      <c r="AU182" t="s">
        <v>72</v>
      </c>
      <c r="AV182" t="s">
        <v>611</v>
      </c>
      <c r="AW182" t="s">
        <v>72</v>
      </c>
      <c r="AX182" t="s">
        <v>695</v>
      </c>
      <c r="AY182">
        <v>24.094800899999999</v>
      </c>
      <c r="AZ182">
        <v>225</v>
      </c>
      <c r="BA182">
        <v>-0.64</v>
      </c>
      <c r="BB182">
        <v>411.63198849999998</v>
      </c>
      <c r="BC182">
        <v>-0.153784</v>
      </c>
      <c r="BD182">
        <v>0.20848700000000001</v>
      </c>
      <c r="BE182">
        <v>0</v>
      </c>
      <c r="BF182">
        <v>6.3261799999999999</v>
      </c>
      <c r="BG182">
        <v>0.48717899999999997</v>
      </c>
      <c r="BH182">
        <v>2.14201</v>
      </c>
      <c r="BI182">
        <v>1.3757200000000001</v>
      </c>
      <c r="BJ182">
        <v>115.2440033</v>
      </c>
      <c r="BK182">
        <v>7</v>
      </c>
      <c r="BL182">
        <v>21.653799100000001</v>
      </c>
      <c r="BM182">
        <v>388.10400390000001</v>
      </c>
      <c r="BN182">
        <v>7330.1801758000001</v>
      </c>
      <c r="BO182">
        <v>280.30499270000001</v>
      </c>
      <c r="BP182">
        <v>235</v>
      </c>
      <c r="BQ182">
        <v>6</v>
      </c>
      <c r="BR182">
        <v>3</v>
      </c>
    </row>
    <row r="183" spans="1:70" x14ac:dyDescent="0.25">
      <c r="A183">
        <v>180</v>
      </c>
      <c r="B183">
        <v>10777</v>
      </c>
      <c r="C183">
        <v>88.428332999999895</v>
      </c>
      <c r="D183">
        <v>27.066500000000001</v>
      </c>
      <c r="E183" t="s">
        <v>696</v>
      </c>
      <c r="F183">
        <v>1</v>
      </c>
      <c r="G183" t="s">
        <v>681</v>
      </c>
      <c r="H183" t="s">
        <v>72</v>
      </c>
      <c r="I183" t="s">
        <v>72</v>
      </c>
      <c r="J183" t="s">
        <v>88</v>
      </c>
      <c r="K183">
        <v>15</v>
      </c>
      <c r="L183">
        <v>8</v>
      </c>
      <c r="M183">
        <v>13</v>
      </c>
      <c r="N183">
        <v>120</v>
      </c>
      <c r="O183" t="s">
        <v>89</v>
      </c>
      <c r="P183" t="s">
        <v>72</v>
      </c>
      <c r="Q183">
        <v>120</v>
      </c>
      <c r="R183" t="s">
        <v>72</v>
      </c>
      <c r="S183" t="s">
        <v>73</v>
      </c>
      <c r="T183" t="s">
        <v>74</v>
      </c>
      <c r="U183" t="s">
        <v>90</v>
      </c>
      <c r="V183" t="s">
        <v>685</v>
      </c>
      <c r="W183" t="s">
        <v>76</v>
      </c>
      <c r="X183" t="s">
        <v>77</v>
      </c>
      <c r="Y183">
        <v>2015</v>
      </c>
      <c r="Z183" t="s">
        <v>72</v>
      </c>
      <c r="AA183" t="s">
        <v>72</v>
      </c>
      <c r="AB183" t="s">
        <v>72</v>
      </c>
      <c r="AC183" t="s">
        <v>72</v>
      </c>
      <c r="AD183" t="s">
        <v>685</v>
      </c>
      <c r="AE183">
        <v>0</v>
      </c>
      <c r="AF183" t="s">
        <v>148</v>
      </c>
      <c r="AG183" t="s">
        <v>94</v>
      </c>
      <c r="AH183" t="s">
        <v>95</v>
      </c>
      <c r="AI183" t="s">
        <v>80</v>
      </c>
      <c r="AJ183" t="s">
        <v>97</v>
      </c>
      <c r="AK183">
        <v>0</v>
      </c>
      <c r="AL183">
        <v>0</v>
      </c>
      <c r="AM183">
        <v>0</v>
      </c>
      <c r="AN183" t="s">
        <v>98</v>
      </c>
      <c r="AO183" t="s">
        <v>82</v>
      </c>
      <c r="AP183" t="s">
        <v>99</v>
      </c>
      <c r="AQ183" t="s">
        <v>72</v>
      </c>
      <c r="AR183" t="s">
        <v>72</v>
      </c>
      <c r="AS183" t="s">
        <v>72</v>
      </c>
      <c r="AT183" t="s">
        <v>72</v>
      </c>
      <c r="AU183" t="s">
        <v>72</v>
      </c>
      <c r="AV183" t="s">
        <v>72</v>
      </c>
      <c r="AW183" t="s">
        <v>72</v>
      </c>
      <c r="AX183" t="s">
        <v>307</v>
      </c>
      <c r="AY183">
        <v>34.313400299999998</v>
      </c>
      <c r="AZ183">
        <v>250</v>
      </c>
      <c r="BA183">
        <v>-3.8399999</v>
      </c>
      <c r="BB183">
        <v>411.63198849999998</v>
      </c>
      <c r="BC183">
        <v>-0.10945199999999999</v>
      </c>
      <c r="BD183">
        <v>0.16083800000000001</v>
      </c>
      <c r="BE183">
        <v>0</v>
      </c>
      <c r="BF183">
        <v>5.7409401000000004</v>
      </c>
      <c r="BG183">
        <v>0.48611100000000002</v>
      </c>
      <c r="BH183">
        <v>2.3921199</v>
      </c>
      <c r="BI183">
        <v>1.3271199</v>
      </c>
      <c r="BJ183">
        <v>27.9507999</v>
      </c>
      <c r="BK183">
        <v>7</v>
      </c>
      <c r="BL183">
        <v>18.980400100000001</v>
      </c>
      <c r="BM183">
        <v>452.94198610000001</v>
      </c>
      <c r="BN183">
        <v>7256.1201172000001</v>
      </c>
      <c r="BO183">
        <v>309.05300899999997</v>
      </c>
      <c r="BP183">
        <v>192</v>
      </c>
      <c r="BQ183">
        <v>6</v>
      </c>
      <c r="BR183">
        <v>3</v>
      </c>
    </row>
    <row r="184" spans="1:70" x14ac:dyDescent="0.25">
      <c r="A184">
        <v>181</v>
      </c>
      <c r="B184">
        <v>10682</v>
      </c>
      <c r="C184">
        <v>88.428332999999895</v>
      </c>
      <c r="D184">
        <v>27.066500000000001</v>
      </c>
      <c r="E184" t="s">
        <v>697</v>
      </c>
      <c r="F184">
        <v>1</v>
      </c>
      <c r="G184" t="s">
        <v>681</v>
      </c>
      <c r="H184" t="s">
        <v>581</v>
      </c>
      <c r="I184" t="s">
        <v>72</v>
      </c>
      <c r="J184" t="s">
        <v>88</v>
      </c>
      <c r="K184">
        <v>15</v>
      </c>
      <c r="L184">
        <v>8</v>
      </c>
      <c r="M184">
        <v>13</v>
      </c>
      <c r="N184">
        <v>120</v>
      </c>
      <c r="O184" t="s">
        <v>89</v>
      </c>
      <c r="P184" t="s">
        <v>72</v>
      </c>
      <c r="Q184">
        <v>120</v>
      </c>
      <c r="R184" t="s">
        <v>72</v>
      </c>
      <c r="S184" t="s">
        <v>73</v>
      </c>
      <c r="T184" t="s">
        <v>74</v>
      </c>
      <c r="U184" t="s">
        <v>90</v>
      </c>
      <c r="V184" t="s">
        <v>685</v>
      </c>
      <c r="W184" t="s">
        <v>76</v>
      </c>
      <c r="X184" t="s">
        <v>77</v>
      </c>
      <c r="Y184">
        <v>2015</v>
      </c>
      <c r="Z184" t="s">
        <v>72</v>
      </c>
      <c r="AA184" t="s">
        <v>72</v>
      </c>
      <c r="AB184" t="s">
        <v>72</v>
      </c>
      <c r="AC184" t="s">
        <v>72</v>
      </c>
      <c r="AD184" t="s">
        <v>685</v>
      </c>
      <c r="AE184">
        <v>0</v>
      </c>
      <c r="AF184" t="s">
        <v>148</v>
      </c>
      <c r="AG184" t="s">
        <v>94</v>
      </c>
      <c r="AH184" t="s">
        <v>95</v>
      </c>
      <c r="AI184" t="s">
        <v>80</v>
      </c>
      <c r="AJ184" t="s">
        <v>97</v>
      </c>
      <c r="AK184">
        <v>0</v>
      </c>
      <c r="AL184">
        <v>0</v>
      </c>
      <c r="AM184">
        <v>0</v>
      </c>
      <c r="AN184" t="s">
        <v>98</v>
      </c>
      <c r="AO184" t="s">
        <v>72</v>
      </c>
      <c r="AP184" t="s">
        <v>99</v>
      </c>
      <c r="AQ184" t="s">
        <v>72</v>
      </c>
      <c r="AR184" t="s">
        <v>72</v>
      </c>
      <c r="AS184" t="s">
        <v>72</v>
      </c>
      <c r="AT184" t="s">
        <v>72</v>
      </c>
      <c r="AU184" t="s">
        <v>72</v>
      </c>
      <c r="AV184" t="s">
        <v>72</v>
      </c>
      <c r="AW184" t="s">
        <v>72</v>
      </c>
      <c r="AX184" t="s">
        <v>72</v>
      </c>
      <c r="AY184">
        <v>34.313400299999998</v>
      </c>
      <c r="AZ184">
        <v>250</v>
      </c>
      <c r="BA184">
        <v>-3.8399999</v>
      </c>
      <c r="BB184">
        <v>411.63198849999998</v>
      </c>
      <c r="BC184">
        <v>-0.10945199999999999</v>
      </c>
      <c r="BD184">
        <v>0.16083800000000001</v>
      </c>
      <c r="BE184">
        <v>0</v>
      </c>
      <c r="BF184">
        <v>5.7409401000000004</v>
      </c>
      <c r="BG184">
        <v>0.48611100000000002</v>
      </c>
      <c r="BH184">
        <v>2.3921199</v>
      </c>
      <c r="BI184">
        <v>1.3271199</v>
      </c>
      <c r="BJ184">
        <v>27.9507999</v>
      </c>
      <c r="BK184">
        <v>7</v>
      </c>
      <c r="BL184">
        <v>18.980400100000001</v>
      </c>
      <c r="BM184">
        <v>452.94198610000001</v>
      </c>
      <c r="BN184">
        <v>7256.1201172000001</v>
      </c>
      <c r="BO184">
        <v>309.05300899999997</v>
      </c>
      <c r="BP184">
        <v>192</v>
      </c>
      <c r="BQ184">
        <v>6</v>
      </c>
      <c r="BR184">
        <v>3</v>
      </c>
    </row>
    <row r="185" spans="1:70" x14ac:dyDescent="0.25">
      <c r="A185">
        <v>182</v>
      </c>
      <c r="B185">
        <v>376</v>
      </c>
      <c r="C185">
        <v>88.428332999999895</v>
      </c>
      <c r="D185">
        <v>27.066500000000001</v>
      </c>
      <c r="E185" t="s">
        <v>698</v>
      </c>
      <c r="F185">
        <v>0</v>
      </c>
      <c r="G185" t="s">
        <v>681</v>
      </c>
      <c r="H185" t="s">
        <v>72</v>
      </c>
      <c r="I185" t="s">
        <v>72</v>
      </c>
      <c r="J185" t="s">
        <v>72</v>
      </c>
      <c r="K185">
        <v>13</v>
      </c>
      <c r="L185">
        <v>8</v>
      </c>
      <c r="M185">
        <v>13</v>
      </c>
      <c r="N185">
        <v>0</v>
      </c>
      <c r="O185" t="s">
        <v>72</v>
      </c>
      <c r="P185" t="s">
        <v>699</v>
      </c>
      <c r="Q185">
        <v>0</v>
      </c>
      <c r="R185" t="s">
        <v>72</v>
      </c>
      <c r="S185" t="s">
        <v>73</v>
      </c>
      <c r="T185" t="s">
        <v>74</v>
      </c>
      <c r="U185" t="s">
        <v>90</v>
      </c>
      <c r="V185" t="s">
        <v>685</v>
      </c>
      <c r="W185" t="s">
        <v>76</v>
      </c>
      <c r="X185" t="s">
        <v>77</v>
      </c>
      <c r="Y185">
        <v>0</v>
      </c>
      <c r="Z185" t="s">
        <v>72</v>
      </c>
      <c r="AA185" t="s">
        <v>72</v>
      </c>
      <c r="AB185" t="s">
        <v>72</v>
      </c>
      <c r="AC185" t="s">
        <v>72</v>
      </c>
      <c r="AD185" t="s">
        <v>685</v>
      </c>
      <c r="AE185">
        <v>0</v>
      </c>
      <c r="AF185" t="s">
        <v>148</v>
      </c>
      <c r="AG185" t="s">
        <v>94</v>
      </c>
      <c r="AH185" t="s">
        <v>95</v>
      </c>
      <c r="AI185" t="s">
        <v>80</v>
      </c>
      <c r="AJ185" t="s">
        <v>97</v>
      </c>
      <c r="AK185">
        <v>0</v>
      </c>
      <c r="AL185">
        <v>0</v>
      </c>
      <c r="AM185">
        <v>0</v>
      </c>
      <c r="AN185" t="s">
        <v>271</v>
      </c>
      <c r="AO185" t="s">
        <v>82</v>
      </c>
      <c r="AP185" t="s">
        <v>272</v>
      </c>
      <c r="AQ185" t="s">
        <v>72</v>
      </c>
      <c r="AR185" t="s">
        <v>72</v>
      </c>
      <c r="AS185" t="s">
        <v>72</v>
      </c>
      <c r="AT185" t="s">
        <v>700</v>
      </c>
      <c r="AU185" t="s">
        <v>72</v>
      </c>
      <c r="AV185" t="s">
        <v>72</v>
      </c>
      <c r="AW185" t="s">
        <v>603</v>
      </c>
      <c r="AX185" t="s">
        <v>387</v>
      </c>
      <c r="AY185">
        <v>34.313400299999998</v>
      </c>
      <c r="AZ185">
        <v>250</v>
      </c>
      <c r="BA185">
        <v>-3.8399999</v>
      </c>
      <c r="BB185">
        <v>411.63198849999998</v>
      </c>
      <c r="BC185">
        <v>-0.10945199999999999</v>
      </c>
      <c r="BD185">
        <v>0.16083800000000001</v>
      </c>
      <c r="BE185">
        <v>0</v>
      </c>
      <c r="BF185">
        <v>5.7409401000000004</v>
      </c>
      <c r="BG185">
        <v>0.48611100000000002</v>
      </c>
      <c r="BH185">
        <v>2.3921199</v>
      </c>
      <c r="BI185">
        <v>1.3271199</v>
      </c>
      <c r="BJ185">
        <v>27.9507999</v>
      </c>
      <c r="BK185">
        <v>7</v>
      </c>
      <c r="BL185">
        <v>18.980400100000001</v>
      </c>
      <c r="BM185">
        <v>452.94198610000001</v>
      </c>
      <c r="BN185">
        <v>7256.1201172000001</v>
      </c>
      <c r="BO185">
        <v>309.05300899999997</v>
      </c>
      <c r="BP185">
        <v>192</v>
      </c>
      <c r="BQ185">
        <v>6</v>
      </c>
      <c r="BR185">
        <v>3</v>
      </c>
    </row>
    <row r="186" spans="1:70" x14ac:dyDescent="0.25">
      <c r="A186">
        <v>183</v>
      </c>
      <c r="B186">
        <v>10396</v>
      </c>
      <c r="C186">
        <v>88.429101000000003</v>
      </c>
      <c r="D186">
        <v>27.066407000000002</v>
      </c>
      <c r="E186" t="s">
        <v>701</v>
      </c>
      <c r="F186">
        <v>1</v>
      </c>
      <c r="G186" t="s">
        <v>102</v>
      </c>
      <c r="H186" t="s">
        <v>72</v>
      </c>
      <c r="I186" t="s">
        <v>72</v>
      </c>
      <c r="J186" t="s">
        <v>88</v>
      </c>
      <c r="K186">
        <v>15</v>
      </c>
      <c r="L186">
        <v>8</v>
      </c>
      <c r="M186">
        <v>10</v>
      </c>
      <c r="N186">
        <v>120</v>
      </c>
      <c r="O186" t="s">
        <v>89</v>
      </c>
      <c r="P186" t="s">
        <v>72</v>
      </c>
      <c r="Q186">
        <v>120</v>
      </c>
      <c r="R186" t="s">
        <v>72</v>
      </c>
      <c r="S186" t="s">
        <v>73</v>
      </c>
      <c r="T186" t="s">
        <v>74</v>
      </c>
      <c r="U186" t="s">
        <v>90</v>
      </c>
      <c r="V186" t="s">
        <v>702</v>
      </c>
      <c r="W186" t="s">
        <v>76</v>
      </c>
      <c r="X186" t="s">
        <v>77</v>
      </c>
      <c r="Y186">
        <v>2014</v>
      </c>
      <c r="Z186" t="s">
        <v>72</v>
      </c>
      <c r="AA186" t="s">
        <v>72</v>
      </c>
      <c r="AB186" t="s">
        <v>72</v>
      </c>
      <c r="AC186" t="s">
        <v>72</v>
      </c>
      <c r="AD186" t="s">
        <v>703</v>
      </c>
      <c r="AE186">
        <v>0</v>
      </c>
      <c r="AF186" t="s">
        <v>79</v>
      </c>
      <c r="AG186" t="s">
        <v>94</v>
      </c>
      <c r="AH186" t="s">
        <v>95</v>
      </c>
      <c r="AI186" t="s">
        <v>96</v>
      </c>
      <c r="AJ186" t="s">
        <v>97</v>
      </c>
      <c r="AK186">
        <v>0</v>
      </c>
      <c r="AL186">
        <v>0</v>
      </c>
      <c r="AM186">
        <v>0</v>
      </c>
      <c r="AN186" t="s">
        <v>72</v>
      </c>
      <c r="AO186" t="s">
        <v>82</v>
      </c>
      <c r="AP186" t="s">
        <v>72</v>
      </c>
      <c r="AQ186" t="s">
        <v>72</v>
      </c>
      <c r="AR186" t="s">
        <v>72</v>
      </c>
      <c r="AS186" t="s">
        <v>72</v>
      </c>
      <c r="AT186" t="s">
        <v>72</v>
      </c>
      <c r="AU186" t="s">
        <v>72</v>
      </c>
      <c r="AV186" t="s">
        <v>72</v>
      </c>
      <c r="AW186" t="s">
        <v>72</v>
      </c>
      <c r="AX186" t="s">
        <v>100</v>
      </c>
      <c r="AY186">
        <v>17.548400900000001</v>
      </c>
      <c r="AZ186">
        <v>220</v>
      </c>
      <c r="BA186">
        <v>0.64</v>
      </c>
      <c r="BB186">
        <v>411.63198849999998</v>
      </c>
      <c r="BC186">
        <v>-0.13339200000000001</v>
      </c>
      <c r="BD186">
        <v>0.18595</v>
      </c>
      <c r="BE186">
        <v>12.5</v>
      </c>
      <c r="BF186">
        <v>7.4836798</v>
      </c>
      <c r="BG186">
        <v>0.51515200000000005</v>
      </c>
      <c r="BH186">
        <v>2.6360800000000002</v>
      </c>
      <c r="BI186">
        <v>1.3361400000000001</v>
      </c>
      <c r="BJ186">
        <v>100.7779999</v>
      </c>
      <c r="BK186">
        <v>7</v>
      </c>
      <c r="BL186">
        <v>18.525899899999999</v>
      </c>
      <c r="BM186">
        <v>526.93103029999997</v>
      </c>
      <c r="BN186">
        <v>7179.8500977000003</v>
      </c>
      <c r="BO186">
        <v>288.43499759999997</v>
      </c>
      <c r="BP186">
        <v>249</v>
      </c>
      <c r="BQ186">
        <v>6</v>
      </c>
      <c r="BR186">
        <v>3</v>
      </c>
    </row>
    <row r="187" spans="1:70" x14ac:dyDescent="0.25">
      <c r="A187">
        <v>184</v>
      </c>
      <c r="B187">
        <v>11444</v>
      </c>
      <c r="C187">
        <v>88.429131999999896</v>
      </c>
      <c r="D187">
        <v>27.0664079999999</v>
      </c>
      <c r="E187" t="s">
        <v>704</v>
      </c>
      <c r="F187">
        <v>2</v>
      </c>
      <c r="G187" t="s">
        <v>130</v>
      </c>
      <c r="H187" t="s">
        <v>72</v>
      </c>
      <c r="I187" t="s">
        <v>72</v>
      </c>
      <c r="J187" t="s">
        <v>88</v>
      </c>
      <c r="K187">
        <v>60</v>
      </c>
      <c r="L187">
        <v>50</v>
      </c>
      <c r="M187">
        <v>40</v>
      </c>
      <c r="N187">
        <v>3000</v>
      </c>
      <c r="O187" t="s">
        <v>89</v>
      </c>
      <c r="P187" t="s">
        <v>72</v>
      </c>
      <c r="Q187">
        <v>6000</v>
      </c>
      <c r="R187" t="s">
        <v>72</v>
      </c>
      <c r="S187" t="s">
        <v>73</v>
      </c>
      <c r="T187" t="s">
        <v>74</v>
      </c>
      <c r="U187" t="s">
        <v>90</v>
      </c>
      <c r="V187" t="s">
        <v>705</v>
      </c>
      <c r="W187" t="s">
        <v>76</v>
      </c>
      <c r="X187" t="s">
        <v>77</v>
      </c>
      <c r="Y187">
        <v>2007</v>
      </c>
      <c r="Z187" t="s">
        <v>72</v>
      </c>
      <c r="AA187" t="s">
        <v>72</v>
      </c>
      <c r="AB187" t="s">
        <v>72</v>
      </c>
      <c r="AC187" t="s">
        <v>72</v>
      </c>
      <c r="AD187" t="s">
        <v>706</v>
      </c>
      <c r="AE187">
        <v>0</v>
      </c>
      <c r="AF187" t="s">
        <v>79</v>
      </c>
      <c r="AG187" t="s">
        <v>94</v>
      </c>
      <c r="AH187" t="s">
        <v>95</v>
      </c>
      <c r="AI187" t="s">
        <v>96</v>
      </c>
      <c r="AJ187" t="s">
        <v>97</v>
      </c>
      <c r="AK187">
        <v>0</v>
      </c>
      <c r="AL187">
        <v>0</v>
      </c>
      <c r="AM187">
        <v>0</v>
      </c>
      <c r="AN187" t="s">
        <v>98</v>
      </c>
      <c r="AO187" t="s">
        <v>82</v>
      </c>
      <c r="AP187" t="s">
        <v>99</v>
      </c>
      <c r="AQ187" t="s">
        <v>72</v>
      </c>
      <c r="AR187" t="s">
        <v>72</v>
      </c>
      <c r="AS187" t="s">
        <v>72</v>
      </c>
      <c r="AT187" t="s">
        <v>72</v>
      </c>
      <c r="AU187" t="s">
        <v>72</v>
      </c>
      <c r="AV187" t="s">
        <v>72</v>
      </c>
      <c r="AW187" t="s">
        <v>72</v>
      </c>
      <c r="AX187" t="s">
        <v>103</v>
      </c>
      <c r="AY187">
        <v>17.548400900000001</v>
      </c>
      <c r="AZ187">
        <v>220</v>
      </c>
      <c r="BA187">
        <v>0.64</v>
      </c>
      <c r="BB187">
        <v>411.63198849999998</v>
      </c>
      <c r="BC187">
        <v>-0.103186</v>
      </c>
      <c r="BD187">
        <v>0.15657399999999999</v>
      </c>
      <c r="BE187">
        <v>12.5</v>
      </c>
      <c r="BF187">
        <v>7.4836798</v>
      </c>
      <c r="BG187">
        <v>0.51515200000000005</v>
      </c>
      <c r="BH187">
        <v>2.6360800000000002</v>
      </c>
      <c r="BI187">
        <v>1.3361400000000001</v>
      </c>
      <c r="BJ187">
        <v>100.7779999</v>
      </c>
      <c r="BK187">
        <v>7</v>
      </c>
      <c r="BL187">
        <v>18.525899899999999</v>
      </c>
      <c r="BM187">
        <v>526.93103029999997</v>
      </c>
      <c r="BN187">
        <v>7179.8500977000003</v>
      </c>
      <c r="BO187">
        <v>288.43499759999997</v>
      </c>
      <c r="BP187">
        <v>249</v>
      </c>
      <c r="BQ187">
        <v>6</v>
      </c>
      <c r="BR187">
        <v>3</v>
      </c>
    </row>
    <row r="188" spans="1:70" x14ac:dyDescent="0.25">
      <c r="A188">
        <v>185</v>
      </c>
      <c r="B188">
        <v>11445</v>
      </c>
      <c r="C188">
        <v>88.429710999999898</v>
      </c>
      <c r="D188">
        <v>27.067696000000002</v>
      </c>
      <c r="E188" t="s">
        <v>707</v>
      </c>
      <c r="F188">
        <v>5</v>
      </c>
      <c r="G188" t="s">
        <v>130</v>
      </c>
      <c r="H188" t="s">
        <v>72</v>
      </c>
      <c r="I188" t="s">
        <v>72</v>
      </c>
      <c r="J188" t="s">
        <v>88</v>
      </c>
      <c r="K188">
        <v>500</v>
      </c>
      <c r="L188">
        <v>250</v>
      </c>
      <c r="M188">
        <v>110</v>
      </c>
      <c r="N188">
        <v>125000</v>
      </c>
      <c r="O188" t="s">
        <v>89</v>
      </c>
      <c r="P188" t="s">
        <v>72</v>
      </c>
      <c r="Q188">
        <v>625000</v>
      </c>
      <c r="R188" t="s">
        <v>72</v>
      </c>
      <c r="S188" t="s">
        <v>73</v>
      </c>
      <c r="T188" t="s">
        <v>74</v>
      </c>
      <c r="U188" t="s">
        <v>90</v>
      </c>
      <c r="V188" t="s">
        <v>708</v>
      </c>
      <c r="W188" t="s">
        <v>76</v>
      </c>
      <c r="X188" t="s">
        <v>77</v>
      </c>
      <c r="Y188">
        <v>2007</v>
      </c>
      <c r="Z188" t="s">
        <v>72</v>
      </c>
      <c r="AA188" t="s">
        <v>72</v>
      </c>
      <c r="AB188" t="s">
        <v>72</v>
      </c>
      <c r="AC188" t="s">
        <v>72</v>
      </c>
      <c r="AD188" t="s">
        <v>709</v>
      </c>
      <c r="AE188">
        <v>0</v>
      </c>
      <c r="AF188" t="s">
        <v>79</v>
      </c>
      <c r="AG188" t="s">
        <v>94</v>
      </c>
      <c r="AH188" t="s">
        <v>95</v>
      </c>
      <c r="AI188" t="s">
        <v>96</v>
      </c>
      <c r="AJ188" t="s">
        <v>97</v>
      </c>
      <c r="AK188">
        <v>0</v>
      </c>
      <c r="AL188">
        <v>0</v>
      </c>
      <c r="AM188">
        <v>0</v>
      </c>
      <c r="AN188" t="s">
        <v>98</v>
      </c>
      <c r="AO188" t="s">
        <v>72</v>
      </c>
      <c r="AP188" t="s">
        <v>99</v>
      </c>
      <c r="AQ188" t="s">
        <v>72</v>
      </c>
      <c r="AR188" t="s">
        <v>72</v>
      </c>
      <c r="AS188" t="s">
        <v>72</v>
      </c>
      <c r="AT188" t="s">
        <v>72</v>
      </c>
      <c r="AU188" t="s">
        <v>72</v>
      </c>
      <c r="AV188" t="s">
        <v>72</v>
      </c>
      <c r="AW188" t="s">
        <v>72</v>
      </c>
      <c r="AX188" t="s">
        <v>72</v>
      </c>
      <c r="AY188">
        <v>23.0923996</v>
      </c>
      <c r="AZ188">
        <v>236</v>
      </c>
      <c r="BA188">
        <v>-1.92</v>
      </c>
      <c r="BB188">
        <v>418.01098630000001</v>
      </c>
      <c r="BC188">
        <v>-0.117365</v>
      </c>
      <c r="BD188">
        <v>0.16428000000000001</v>
      </c>
      <c r="BE188">
        <v>25</v>
      </c>
      <c r="BF188">
        <v>4.0712999999999999</v>
      </c>
      <c r="BG188">
        <v>0.51111099999999998</v>
      </c>
      <c r="BH188">
        <v>-0.849082</v>
      </c>
      <c r="BI188">
        <v>1.3246100000000001</v>
      </c>
      <c r="BJ188">
        <v>12.5</v>
      </c>
      <c r="BK188">
        <v>7</v>
      </c>
      <c r="BL188">
        <v>19.290700900000001</v>
      </c>
      <c r="BM188">
        <v>641.4099731</v>
      </c>
      <c r="BN188">
        <v>7077.4501952999999</v>
      </c>
      <c r="BO188">
        <v>309.28900149999998</v>
      </c>
      <c r="BP188">
        <v>206</v>
      </c>
      <c r="BQ188">
        <v>6</v>
      </c>
      <c r="BR188">
        <v>3</v>
      </c>
    </row>
    <row r="189" spans="1:70" x14ac:dyDescent="0.25">
      <c r="A189">
        <v>186</v>
      </c>
      <c r="B189">
        <v>11463</v>
      </c>
      <c r="C189">
        <v>88.429848000000007</v>
      </c>
      <c r="D189">
        <v>27.069396999999899</v>
      </c>
      <c r="E189" t="s">
        <v>710</v>
      </c>
      <c r="F189">
        <v>2</v>
      </c>
      <c r="G189" t="s">
        <v>130</v>
      </c>
      <c r="H189" t="s">
        <v>72</v>
      </c>
      <c r="I189" t="s">
        <v>72</v>
      </c>
      <c r="J189" t="s">
        <v>88</v>
      </c>
      <c r="K189">
        <v>50</v>
      </c>
      <c r="L189">
        <v>25</v>
      </c>
      <c r="M189">
        <v>35</v>
      </c>
      <c r="N189">
        <v>1250</v>
      </c>
      <c r="O189" t="s">
        <v>89</v>
      </c>
      <c r="P189" t="s">
        <v>72</v>
      </c>
      <c r="Q189">
        <v>2500</v>
      </c>
      <c r="R189" t="s">
        <v>72</v>
      </c>
      <c r="S189" t="s">
        <v>73</v>
      </c>
      <c r="T189" t="s">
        <v>74</v>
      </c>
      <c r="U189" t="s">
        <v>90</v>
      </c>
      <c r="V189" t="s">
        <v>711</v>
      </c>
      <c r="W189" t="s">
        <v>76</v>
      </c>
      <c r="X189" t="s">
        <v>77</v>
      </c>
      <c r="Y189">
        <v>2007</v>
      </c>
      <c r="Z189" t="s">
        <v>72</v>
      </c>
      <c r="AA189" t="s">
        <v>72</v>
      </c>
      <c r="AB189" t="s">
        <v>72</v>
      </c>
      <c r="AC189" t="s">
        <v>72</v>
      </c>
      <c r="AD189" t="s">
        <v>712</v>
      </c>
      <c r="AE189">
        <v>0</v>
      </c>
      <c r="AF189" t="s">
        <v>79</v>
      </c>
      <c r="AG189" t="s">
        <v>133</v>
      </c>
      <c r="AH189" t="s">
        <v>95</v>
      </c>
      <c r="AI189" t="s">
        <v>96</v>
      </c>
      <c r="AJ189" t="s">
        <v>97</v>
      </c>
      <c r="AK189">
        <v>0</v>
      </c>
      <c r="AL189">
        <v>0</v>
      </c>
      <c r="AM189">
        <v>0</v>
      </c>
      <c r="AN189" t="s">
        <v>98</v>
      </c>
      <c r="AO189" t="s">
        <v>72</v>
      </c>
      <c r="AP189" t="s">
        <v>99</v>
      </c>
      <c r="AQ189" t="s">
        <v>72</v>
      </c>
      <c r="AR189" t="s">
        <v>72</v>
      </c>
      <c r="AS189" t="s">
        <v>72</v>
      </c>
      <c r="AT189" t="s">
        <v>72</v>
      </c>
      <c r="AU189" t="s">
        <v>72</v>
      </c>
      <c r="AV189" t="s">
        <v>72</v>
      </c>
      <c r="AW189" t="s">
        <v>72</v>
      </c>
      <c r="AX189" t="s">
        <v>72</v>
      </c>
      <c r="AY189">
        <v>40.934898400000002</v>
      </c>
      <c r="AZ189">
        <v>244</v>
      </c>
      <c r="BA189">
        <v>1.92</v>
      </c>
      <c r="BB189">
        <v>421.51199339999999</v>
      </c>
      <c r="BC189">
        <v>-8.6761500000000005E-2</v>
      </c>
      <c r="BD189">
        <v>0.151555</v>
      </c>
      <c r="BE189">
        <v>12.5</v>
      </c>
      <c r="BF189">
        <v>2.6681099000000001</v>
      </c>
      <c r="BG189">
        <v>0.55967100000000003</v>
      </c>
      <c r="BH189">
        <v>-7.0489801999999999</v>
      </c>
      <c r="BI189">
        <v>1.25701</v>
      </c>
      <c r="BJ189">
        <v>70.710701</v>
      </c>
      <c r="BK189">
        <v>7</v>
      </c>
      <c r="BL189">
        <v>23.013700499999999</v>
      </c>
      <c r="BM189">
        <v>769.02899170000001</v>
      </c>
      <c r="BN189">
        <v>6999.3300780999998</v>
      </c>
      <c r="BO189">
        <v>290.94299319999999</v>
      </c>
      <c r="BP189">
        <v>220</v>
      </c>
      <c r="BQ189">
        <v>6</v>
      </c>
      <c r="BR189">
        <v>3</v>
      </c>
    </row>
    <row r="190" spans="1:70" x14ac:dyDescent="0.25">
      <c r="A190">
        <v>187</v>
      </c>
      <c r="B190">
        <v>10436</v>
      </c>
      <c r="C190">
        <v>88.429972000000006</v>
      </c>
      <c r="D190">
        <v>27.069693999999899</v>
      </c>
      <c r="E190" t="s">
        <v>713</v>
      </c>
      <c r="F190">
        <v>2</v>
      </c>
      <c r="G190" t="s">
        <v>102</v>
      </c>
      <c r="H190" t="s">
        <v>72</v>
      </c>
      <c r="I190" t="s">
        <v>72</v>
      </c>
      <c r="J190" t="s">
        <v>88</v>
      </c>
      <c r="K190">
        <v>15</v>
      </c>
      <c r="L190">
        <v>18</v>
      </c>
      <c r="M190">
        <v>10</v>
      </c>
      <c r="N190">
        <v>270</v>
      </c>
      <c r="O190" t="s">
        <v>89</v>
      </c>
      <c r="P190" t="s">
        <v>72</v>
      </c>
      <c r="Q190">
        <v>540</v>
      </c>
      <c r="R190" t="s">
        <v>72</v>
      </c>
      <c r="S190" t="s">
        <v>73</v>
      </c>
      <c r="T190" t="s">
        <v>74</v>
      </c>
      <c r="U190" t="s">
        <v>90</v>
      </c>
      <c r="V190" t="s">
        <v>702</v>
      </c>
      <c r="W190" t="s">
        <v>159</v>
      </c>
      <c r="X190" t="s">
        <v>77</v>
      </c>
      <c r="Y190">
        <v>2014</v>
      </c>
      <c r="Z190" t="s">
        <v>72</v>
      </c>
      <c r="AA190" t="s">
        <v>72</v>
      </c>
      <c r="AB190" t="s">
        <v>72</v>
      </c>
      <c r="AC190" t="s">
        <v>72</v>
      </c>
      <c r="AD190" t="s">
        <v>703</v>
      </c>
      <c r="AE190">
        <v>1</v>
      </c>
      <c r="AF190" t="s">
        <v>148</v>
      </c>
      <c r="AG190" t="s">
        <v>385</v>
      </c>
      <c r="AH190" t="s">
        <v>95</v>
      </c>
      <c r="AI190" t="s">
        <v>96</v>
      </c>
      <c r="AJ190" t="s">
        <v>97</v>
      </c>
      <c r="AK190">
        <v>2016</v>
      </c>
      <c r="AL190">
        <v>0</v>
      </c>
      <c r="AM190">
        <v>0</v>
      </c>
      <c r="AN190" t="s">
        <v>98</v>
      </c>
      <c r="AO190" t="s">
        <v>82</v>
      </c>
      <c r="AP190" t="s">
        <v>99</v>
      </c>
      <c r="AQ190" t="s">
        <v>72</v>
      </c>
      <c r="AR190" t="s">
        <v>72</v>
      </c>
      <c r="AS190" t="s">
        <v>72</v>
      </c>
      <c r="AT190" t="s">
        <v>72</v>
      </c>
      <c r="AU190" t="s">
        <v>72</v>
      </c>
      <c r="AV190" t="s">
        <v>72</v>
      </c>
      <c r="AW190" t="s">
        <v>72</v>
      </c>
      <c r="AX190" t="s">
        <v>103</v>
      </c>
      <c r="AY190">
        <v>52.382198299999999</v>
      </c>
      <c r="AZ190">
        <v>243</v>
      </c>
      <c r="BA190">
        <v>-1.92</v>
      </c>
      <c r="BB190">
        <v>421.51199339999999</v>
      </c>
      <c r="BC190">
        <v>-6.5119899999999994E-2</v>
      </c>
      <c r="BD190">
        <v>0.129945</v>
      </c>
      <c r="BE190">
        <v>0</v>
      </c>
      <c r="BF190">
        <v>2.2849499999999998</v>
      </c>
      <c r="BG190">
        <v>0.45799400000000001</v>
      </c>
      <c r="BH190">
        <v>-6.6661900999999997</v>
      </c>
      <c r="BI190">
        <v>1.2494799999999999</v>
      </c>
      <c r="BJ190">
        <v>62.5</v>
      </c>
      <c r="BK190">
        <v>7</v>
      </c>
      <c r="BL190">
        <v>23.013700499999999</v>
      </c>
      <c r="BM190">
        <v>795.49499509999998</v>
      </c>
      <c r="BN190">
        <v>6979.0400391000003</v>
      </c>
      <c r="BO190">
        <v>294.5899963</v>
      </c>
      <c r="BP190">
        <v>215</v>
      </c>
      <c r="BQ190">
        <v>6</v>
      </c>
      <c r="BR190">
        <v>3</v>
      </c>
    </row>
    <row r="191" spans="1:70" x14ac:dyDescent="0.25">
      <c r="A191">
        <v>188</v>
      </c>
      <c r="B191">
        <v>10437</v>
      </c>
      <c r="C191">
        <v>88.430027999999893</v>
      </c>
      <c r="D191">
        <v>27.067944000000001</v>
      </c>
      <c r="E191" t="s">
        <v>714</v>
      </c>
      <c r="F191">
        <v>1</v>
      </c>
      <c r="G191" t="s">
        <v>102</v>
      </c>
      <c r="H191" t="s">
        <v>72</v>
      </c>
      <c r="I191" t="s">
        <v>72</v>
      </c>
      <c r="J191" t="s">
        <v>88</v>
      </c>
      <c r="K191">
        <v>12</v>
      </c>
      <c r="L191">
        <v>7</v>
      </c>
      <c r="M191">
        <v>10</v>
      </c>
      <c r="N191">
        <v>84</v>
      </c>
      <c r="O191" t="s">
        <v>89</v>
      </c>
      <c r="P191" t="s">
        <v>72</v>
      </c>
      <c r="Q191">
        <v>84</v>
      </c>
      <c r="R191" t="s">
        <v>72</v>
      </c>
      <c r="S191" t="s">
        <v>73</v>
      </c>
      <c r="T191" t="s">
        <v>74</v>
      </c>
      <c r="U191" t="s">
        <v>90</v>
      </c>
      <c r="V191" t="s">
        <v>702</v>
      </c>
      <c r="W191" t="s">
        <v>159</v>
      </c>
      <c r="X191" t="s">
        <v>77</v>
      </c>
      <c r="Y191">
        <v>2014</v>
      </c>
      <c r="Z191" t="s">
        <v>72</v>
      </c>
      <c r="AA191" t="s">
        <v>72</v>
      </c>
      <c r="AB191" t="s">
        <v>72</v>
      </c>
      <c r="AC191" t="s">
        <v>72</v>
      </c>
      <c r="AD191" t="s">
        <v>715</v>
      </c>
      <c r="AE191">
        <v>1</v>
      </c>
      <c r="AF191" t="s">
        <v>79</v>
      </c>
      <c r="AG191" t="s">
        <v>94</v>
      </c>
      <c r="AH191" t="s">
        <v>95</v>
      </c>
      <c r="AI191" t="s">
        <v>96</v>
      </c>
      <c r="AJ191" t="s">
        <v>97</v>
      </c>
      <c r="AK191">
        <v>2016</v>
      </c>
      <c r="AL191">
        <v>0</v>
      </c>
      <c r="AM191">
        <v>0</v>
      </c>
      <c r="AN191" t="s">
        <v>98</v>
      </c>
      <c r="AO191" t="s">
        <v>82</v>
      </c>
      <c r="AP191" t="s">
        <v>99</v>
      </c>
      <c r="AQ191" t="s">
        <v>72</v>
      </c>
      <c r="AR191" t="s">
        <v>72</v>
      </c>
      <c r="AS191" t="s">
        <v>72</v>
      </c>
      <c r="AT191" t="s">
        <v>72</v>
      </c>
      <c r="AU191" t="s">
        <v>72</v>
      </c>
      <c r="AV191" t="s">
        <v>72</v>
      </c>
      <c r="AW191" t="s">
        <v>72</v>
      </c>
      <c r="AX191" t="s">
        <v>103</v>
      </c>
      <c r="AY191">
        <v>23.4521999</v>
      </c>
      <c r="AZ191">
        <v>188</v>
      </c>
      <c r="BA191">
        <v>-0.64</v>
      </c>
      <c r="BB191">
        <v>418.01098630000001</v>
      </c>
      <c r="BC191">
        <v>-0.12670500000000001</v>
      </c>
      <c r="BD191">
        <v>0.16577</v>
      </c>
      <c r="BE191">
        <v>0</v>
      </c>
      <c r="BF191">
        <v>6.8872099000000002</v>
      </c>
      <c r="BG191">
        <v>0.44444499999999998</v>
      </c>
      <c r="BH191">
        <v>2.6637198999999998</v>
      </c>
      <c r="BI191">
        <v>1.30644</v>
      </c>
      <c r="BJ191">
        <v>17.677700000000002</v>
      </c>
      <c r="BK191">
        <v>7</v>
      </c>
      <c r="BL191">
        <v>19.290700900000001</v>
      </c>
      <c r="BM191">
        <v>686.47698969999999</v>
      </c>
      <c r="BN191">
        <v>7033.4101561999996</v>
      </c>
      <c r="BO191">
        <v>244.02600100000001</v>
      </c>
      <c r="BP191">
        <v>218</v>
      </c>
      <c r="BQ191">
        <v>6</v>
      </c>
      <c r="BR191">
        <v>3</v>
      </c>
    </row>
    <row r="192" spans="1:70" x14ac:dyDescent="0.25">
      <c r="A192">
        <v>189</v>
      </c>
      <c r="B192">
        <v>202</v>
      </c>
      <c r="C192">
        <v>88.432000000000002</v>
      </c>
      <c r="D192">
        <v>27.076000000000001</v>
      </c>
      <c r="E192" t="s">
        <v>716</v>
      </c>
      <c r="F192">
        <v>1</v>
      </c>
      <c r="G192" t="s">
        <v>72</v>
      </c>
      <c r="H192" t="s">
        <v>72</v>
      </c>
      <c r="I192" t="s">
        <v>72</v>
      </c>
      <c r="J192" t="s">
        <v>72</v>
      </c>
      <c r="K192">
        <v>15</v>
      </c>
      <c r="L192">
        <v>10</v>
      </c>
      <c r="M192">
        <v>15</v>
      </c>
      <c r="N192">
        <v>0</v>
      </c>
      <c r="O192" t="s">
        <v>105</v>
      </c>
      <c r="P192" t="s">
        <v>717</v>
      </c>
      <c r="Q192">
        <v>0</v>
      </c>
      <c r="R192" t="s">
        <v>72</v>
      </c>
      <c r="S192" t="s">
        <v>73</v>
      </c>
      <c r="T192" t="s">
        <v>74</v>
      </c>
      <c r="U192" t="s">
        <v>90</v>
      </c>
      <c r="V192" t="s">
        <v>72</v>
      </c>
      <c r="W192" t="s">
        <v>76</v>
      </c>
      <c r="X192" t="s">
        <v>77</v>
      </c>
      <c r="Y192">
        <v>0</v>
      </c>
      <c r="Z192" t="s">
        <v>72</v>
      </c>
      <c r="AA192" t="s">
        <v>72</v>
      </c>
      <c r="AB192" t="s">
        <v>72</v>
      </c>
      <c r="AC192" t="s">
        <v>72</v>
      </c>
      <c r="AD192" t="s">
        <v>93</v>
      </c>
      <c r="AE192">
        <v>0</v>
      </c>
      <c r="AF192" t="s">
        <v>79</v>
      </c>
      <c r="AG192" t="s">
        <v>94</v>
      </c>
      <c r="AH192" t="s">
        <v>72</v>
      </c>
      <c r="AI192" t="s">
        <v>96</v>
      </c>
      <c r="AJ192" t="s">
        <v>72</v>
      </c>
      <c r="AK192">
        <v>0</v>
      </c>
      <c r="AL192">
        <v>0</v>
      </c>
      <c r="AM192">
        <v>0</v>
      </c>
      <c r="AN192" t="s">
        <v>72</v>
      </c>
      <c r="AO192" t="s">
        <v>124</v>
      </c>
      <c r="AP192" t="s">
        <v>72</v>
      </c>
      <c r="AQ192" t="s">
        <v>72</v>
      </c>
      <c r="AR192" t="s">
        <v>72</v>
      </c>
      <c r="AS192" t="s">
        <v>72</v>
      </c>
      <c r="AT192" t="s">
        <v>72</v>
      </c>
      <c r="AU192" t="s">
        <v>72</v>
      </c>
      <c r="AV192" t="s">
        <v>72</v>
      </c>
      <c r="AW192" t="s">
        <v>72</v>
      </c>
      <c r="AX192" t="s">
        <v>72</v>
      </c>
      <c r="AY192">
        <v>39.297298400000003</v>
      </c>
      <c r="AZ192">
        <v>248</v>
      </c>
      <c r="BA192">
        <v>-0.64</v>
      </c>
      <c r="BB192">
        <v>420.96899409999997</v>
      </c>
      <c r="BC192">
        <v>-9.0477299999999997E-2</v>
      </c>
      <c r="BD192">
        <v>0.146592</v>
      </c>
      <c r="BE192">
        <v>12.5</v>
      </c>
      <c r="BF192">
        <v>3.40557</v>
      </c>
      <c r="BG192">
        <v>0.47222199999999998</v>
      </c>
      <c r="BH192">
        <v>-0.18448899999999999</v>
      </c>
      <c r="BI192">
        <v>1.1636299999999999</v>
      </c>
      <c r="BJ192">
        <v>75</v>
      </c>
      <c r="BK192">
        <v>7</v>
      </c>
      <c r="BL192">
        <v>20.854700099999999</v>
      </c>
      <c r="BM192">
        <v>712.60998540000003</v>
      </c>
      <c r="BN192">
        <v>6579.2900391000003</v>
      </c>
      <c r="BO192">
        <v>296.8779907</v>
      </c>
      <c r="BP192">
        <v>210</v>
      </c>
      <c r="BQ192">
        <v>6</v>
      </c>
      <c r="BR192">
        <v>3</v>
      </c>
    </row>
    <row r="193" spans="1:70" x14ac:dyDescent="0.25">
      <c r="A193">
        <v>190</v>
      </c>
      <c r="B193">
        <v>201</v>
      </c>
      <c r="C193">
        <v>88.432000000000002</v>
      </c>
      <c r="D193">
        <v>27.07</v>
      </c>
      <c r="E193" t="s">
        <v>718</v>
      </c>
      <c r="F193">
        <v>2</v>
      </c>
      <c r="G193" t="s">
        <v>625</v>
      </c>
      <c r="H193" t="s">
        <v>72</v>
      </c>
      <c r="I193" t="s">
        <v>72</v>
      </c>
      <c r="J193" t="s">
        <v>72</v>
      </c>
      <c r="K193">
        <v>35</v>
      </c>
      <c r="L193">
        <v>25</v>
      </c>
      <c r="M193">
        <v>35</v>
      </c>
      <c r="N193">
        <v>0</v>
      </c>
      <c r="O193" t="s">
        <v>72</v>
      </c>
      <c r="P193" t="s">
        <v>140</v>
      </c>
      <c r="Q193">
        <v>0</v>
      </c>
      <c r="R193" t="s">
        <v>72</v>
      </c>
      <c r="S193" t="s">
        <v>73</v>
      </c>
      <c r="T193" t="s">
        <v>74</v>
      </c>
      <c r="U193" t="s">
        <v>90</v>
      </c>
      <c r="V193" t="s">
        <v>72</v>
      </c>
      <c r="W193" t="s">
        <v>76</v>
      </c>
      <c r="X193" t="s">
        <v>77</v>
      </c>
      <c r="Y193">
        <v>0</v>
      </c>
      <c r="Z193" t="s">
        <v>72</v>
      </c>
      <c r="AA193" t="s">
        <v>72</v>
      </c>
      <c r="AB193" t="s">
        <v>719</v>
      </c>
      <c r="AC193" t="s">
        <v>72</v>
      </c>
      <c r="AD193" t="s">
        <v>720</v>
      </c>
      <c r="AE193">
        <v>0</v>
      </c>
      <c r="AF193" t="s">
        <v>79</v>
      </c>
      <c r="AG193" t="s">
        <v>133</v>
      </c>
      <c r="AH193" t="s">
        <v>72</v>
      </c>
      <c r="AI193" t="s">
        <v>96</v>
      </c>
      <c r="AJ193" t="s">
        <v>97</v>
      </c>
      <c r="AK193">
        <v>0</v>
      </c>
      <c r="AL193">
        <v>0</v>
      </c>
      <c r="AM193">
        <v>0</v>
      </c>
      <c r="AN193" t="s">
        <v>72</v>
      </c>
      <c r="AO193" t="s">
        <v>72</v>
      </c>
      <c r="AP193" t="s">
        <v>72</v>
      </c>
      <c r="AQ193" t="s">
        <v>72</v>
      </c>
      <c r="AR193" t="s">
        <v>72</v>
      </c>
      <c r="AS193" t="s">
        <v>72</v>
      </c>
      <c r="AT193" t="s">
        <v>72</v>
      </c>
      <c r="AU193" t="s">
        <v>72</v>
      </c>
      <c r="AV193" t="s">
        <v>142</v>
      </c>
      <c r="AW193" t="s">
        <v>72</v>
      </c>
      <c r="AX193" t="s">
        <v>72</v>
      </c>
      <c r="AY193">
        <v>32.240200000000002</v>
      </c>
      <c r="AZ193">
        <v>223</v>
      </c>
      <c r="BA193">
        <v>3.2</v>
      </c>
      <c r="BB193">
        <v>423.99499509999998</v>
      </c>
      <c r="BC193">
        <v>-0.105764</v>
      </c>
      <c r="BD193">
        <v>0.157248</v>
      </c>
      <c r="BE193">
        <v>167.70500179999999</v>
      </c>
      <c r="BF193">
        <v>4.9168200000000004</v>
      </c>
      <c r="BG193">
        <v>0.53703599999999996</v>
      </c>
      <c r="BH193">
        <v>1.01213</v>
      </c>
      <c r="BI193">
        <v>1.1887399999999999</v>
      </c>
      <c r="BJ193">
        <v>221.50100710000001</v>
      </c>
      <c r="BK193">
        <v>7</v>
      </c>
      <c r="BL193">
        <v>20.662399300000001</v>
      </c>
      <c r="BM193">
        <v>970.26098630000001</v>
      </c>
      <c r="BN193">
        <v>6778.2998047000001</v>
      </c>
      <c r="BO193">
        <v>272.72601320000001</v>
      </c>
      <c r="BP193">
        <v>374</v>
      </c>
      <c r="BQ193">
        <v>6</v>
      </c>
      <c r="BR193">
        <v>3</v>
      </c>
    </row>
    <row r="194" spans="1:70" x14ac:dyDescent="0.25">
      <c r="A194">
        <v>191</v>
      </c>
      <c r="B194">
        <v>200</v>
      </c>
      <c r="C194">
        <v>88.430999999999898</v>
      </c>
      <c r="D194">
        <v>27.053000000000001</v>
      </c>
      <c r="E194" t="s">
        <v>721</v>
      </c>
      <c r="F194">
        <v>10</v>
      </c>
      <c r="G194" t="s">
        <v>722</v>
      </c>
      <c r="H194" t="s">
        <v>72</v>
      </c>
      <c r="I194" t="s">
        <v>72</v>
      </c>
      <c r="J194" t="s">
        <v>72</v>
      </c>
      <c r="K194">
        <v>350</v>
      </c>
      <c r="L194">
        <v>125</v>
      </c>
      <c r="M194">
        <v>350</v>
      </c>
      <c r="N194">
        <v>0</v>
      </c>
      <c r="O194" t="s">
        <v>72</v>
      </c>
      <c r="P194" t="s">
        <v>723</v>
      </c>
      <c r="Q194">
        <v>0</v>
      </c>
      <c r="R194" t="s">
        <v>72</v>
      </c>
      <c r="S194" t="s">
        <v>73</v>
      </c>
      <c r="T194" t="s">
        <v>74</v>
      </c>
      <c r="U194" t="s">
        <v>90</v>
      </c>
      <c r="V194" t="s">
        <v>72</v>
      </c>
      <c r="W194" t="s">
        <v>92</v>
      </c>
      <c r="X194" t="s">
        <v>673</v>
      </c>
      <c r="Y194">
        <v>0</v>
      </c>
      <c r="Z194" t="s">
        <v>72</v>
      </c>
      <c r="AA194" t="s">
        <v>72</v>
      </c>
      <c r="AB194" t="s">
        <v>72</v>
      </c>
      <c r="AC194" t="s">
        <v>72</v>
      </c>
      <c r="AD194" t="s">
        <v>674</v>
      </c>
      <c r="AE194">
        <v>0</v>
      </c>
      <c r="AF194" t="s">
        <v>186</v>
      </c>
      <c r="AG194" t="s">
        <v>94</v>
      </c>
      <c r="AH194" t="s">
        <v>72</v>
      </c>
      <c r="AI194" t="s">
        <v>121</v>
      </c>
      <c r="AJ194" t="s">
        <v>72</v>
      </c>
      <c r="AK194">
        <v>0</v>
      </c>
      <c r="AL194">
        <v>0</v>
      </c>
      <c r="AM194">
        <v>0</v>
      </c>
      <c r="AN194" t="s">
        <v>72</v>
      </c>
      <c r="AO194" t="s">
        <v>82</v>
      </c>
      <c r="AP194" t="s">
        <v>386</v>
      </c>
      <c r="AQ194" t="s">
        <v>72</v>
      </c>
      <c r="AR194" t="s">
        <v>72</v>
      </c>
      <c r="AS194" t="s">
        <v>72</v>
      </c>
      <c r="AT194" t="s">
        <v>72</v>
      </c>
      <c r="AU194" t="s">
        <v>72</v>
      </c>
      <c r="AV194" t="s">
        <v>72</v>
      </c>
      <c r="AW194" t="s">
        <v>72</v>
      </c>
      <c r="AX194" t="s">
        <v>724</v>
      </c>
      <c r="AY194">
        <v>26.9186993</v>
      </c>
      <c r="AZ194">
        <v>240</v>
      </c>
      <c r="BA194">
        <v>-1.28</v>
      </c>
      <c r="BB194">
        <v>508.95498659999998</v>
      </c>
      <c r="BC194">
        <v>-0.118573</v>
      </c>
      <c r="BD194">
        <v>0.17552599999999999</v>
      </c>
      <c r="BE194">
        <v>51.538799300000001</v>
      </c>
      <c r="BF194">
        <v>5.3267102</v>
      </c>
      <c r="BG194">
        <v>0.49019699999999999</v>
      </c>
      <c r="BH194">
        <v>1.2265699999999999</v>
      </c>
      <c r="BI194">
        <v>1.27776</v>
      </c>
      <c r="BJ194">
        <v>200</v>
      </c>
      <c r="BK194">
        <v>7</v>
      </c>
      <c r="BL194">
        <v>39.7887001</v>
      </c>
      <c r="BM194">
        <v>460.97698969999999</v>
      </c>
      <c r="BN194">
        <v>6355.1699219000002</v>
      </c>
      <c r="BO194">
        <v>327.875</v>
      </c>
      <c r="BP194">
        <v>417</v>
      </c>
      <c r="BQ194">
        <v>6</v>
      </c>
      <c r="BR194">
        <v>3</v>
      </c>
    </row>
    <row r="195" spans="1:70" x14ac:dyDescent="0.25">
      <c r="A195">
        <v>192</v>
      </c>
      <c r="B195">
        <v>215</v>
      </c>
      <c r="C195">
        <v>88.432000000000002</v>
      </c>
      <c r="D195">
        <v>27.065999999999899</v>
      </c>
      <c r="E195" t="s">
        <v>725</v>
      </c>
      <c r="F195">
        <v>3</v>
      </c>
      <c r="G195" t="s">
        <v>726</v>
      </c>
      <c r="H195" t="s">
        <v>72</v>
      </c>
      <c r="I195" t="s">
        <v>72</v>
      </c>
      <c r="J195" t="s">
        <v>72</v>
      </c>
      <c r="K195">
        <v>0</v>
      </c>
      <c r="L195">
        <v>100</v>
      </c>
      <c r="M195">
        <v>0</v>
      </c>
      <c r="N195">
        <v>0</v>
      </c>
      <c r="O195" t="s">
        <v>727</v>
      </c>
      <c r="P195" t="s">
        <v>728</v>
      </c>
      <c r="Q195">
        <v>0</v>
      </c>
      <c r="R195" t="s">
        <v>72</v>
      </c>
      <c r="S195" t="s">
        <v>73</v>
      </c>
      <c r="T195" t="s">
        <v>74</v>
      </c>
      <c r="U195" t="s">
        <v>90</v>
      </c>
      <c r="V195" t="s">
        <v>72</v>
      </c>
      <c r="W195" t="s">
        <v>76</v>
      </c>
      <c r="X195" t="s">
        <v>119</v>
      </c>
      <c r="Y195">
        <v>0</v>
      </c>
      <c r="Z195" t="s">
        <v>72</v>
      </c>
      <c r="AA195" t="s">
        <v>72</v>
      </c>
      <c r="AB195" t="s">
        <v>72</v>
      </c>
      <c r="AC195" t="s">
        <v>72</v>
      </c>
      <c r="AD195" t="s">
        <v>693</v>
      </c>
      <c r="AE195">
        <v>0</v>
      </c>
      <c r="AF195" t="s">
        <v>729</v>
      </c>
      <c r="AG195" t="s">
        <v>128</v>
      </c>
      <c r="AH195" t="s">
        <v>72</v>
      </c>
      <c r="AI195" t="s">
        <v>96</v>
      </c>
      <c r="AJ195" t="s">
        <v>97</v>
      </c>
      <c r="AK195">
        <v>0</v>
      </c>
      <c r="AL195">
        <v>0</v>
      </c>
      <c r="AM195">
        <v>0</v>
      </c>
      <c r="AN195" t="s">
        <v>72</v>
      </c>
      <c r="AO195" t="s">
        <v>730</v>
      </c>
      <c r="AP195" t="s">
        <v>386</v>
      </c>
      <c r="AQ195" t="s">
        <v>72</v>
      </c>
      <c r="AR195" t="s">
        <v>72</v>
      </c>
      <c r="AS195" t="s">
        <v>72</v>
      </c>
      <c r="AT195" t="s">
        <v>72</v>
      </c>
      <c r="AU195" t="s">
        <v>72</v>
      </c>
      <c r="AV195" t="s">
        <v>731</v>
      </c>
      <c r="AW195" t="s">
        <v>72</v>
      </c>
      <c r="AX195" t="s">
        <v>732</v>
      </c>
      <c r="AY195">
        <v>16.8213005</v>
      </c>
      <c r="AZ195">
        <v>223</v>
      </c>
      <c r="BA195">
        <v>0</v>
      </c>
      <c r="BB195">
        <v>412.05899049999999</v>
      </c>
      <c r="BC195">
        <v>-0.12001100000000001</v>
      </c>
      <c r="BD195">
        <v>0.176623</v>
      </c>
      <c r="BE195">
        <v>0</v>
      </c>
      <c r="BF195">
        <v>4.4151300999999998</v>
      </c>
      <c r="BG195">
        <v>0.53535299999999997</v>
      </c>
      <c r="BH195">
        <v>-1.1919500000000001</v>
      </c>
      <c r="BI195">
        <v>1.3504</v>
      </c>
      <c r="BJ195">
        <v>137.5</v>
      </c>
      <c r="BK195">
        <v>7</v>
      </c>
      <c r="BL195">
        <v>17.6814003</v>
      </c>
      <c r="BM195">
        <v>791.55700679999995</v>
      </c>
      <c r="BN195">
        <v>6929.8701172000001</v>
      </c>
      <c r="BO195">
        <v>325.78399660000002</v>
      </c>
      <c r="BP195">
        <v>371</v>
      </c>
      <c r="BQ195">
        <v>6</v>
      </c>
      <c r="BR195">
        <v>3</v>
      </c>
    </row>
    <row r="196" spans="1:70" x14ac:dyDescent="0.25">
      <c r="A196">
        <v>193</v>
      </c>
      <c r="B196">
        <v>226</v>
      </c>
      <c r="C196">
        <v>88.433000000000007</v>
      </c>
      <c r="D196">
        <v>27.068000000000001</v>
      </c>
      <c r="E196" t="s">
        <v>733</v>
      </c>
      <c r="F196">
        <v>5</v>
      </c>
      <c r="G196" t="s">
        <v>625</v>
      </c>
      <c r="H196" t="s">
        <v>72</v>
      </c>
      <c r="I196" t="s">
        <v>72</v>
      </c>
      <c r="J196" t="s">
        <v>72</v>
      </c>
      <c r="K196">
        <v>110</v>
      </c>
      <c r="L196">
        <v>250</v>
      </c>
      <c r="M196">
        <v>110</v>
      </c>
      <c r="N196">
        <v>0</v>
      </c>
      <c r="O196" t="s">
        <v>89</v>
      </c>
      <c r="P196" t="s">
        <v>734</v>
      </c>
      <c r="Q196">
        <v>0</v>
      </c>
      <c r="R196" t="s">
        <v>72</v>
      </c>
      <c r="S196" t="s">
        <v>73</v>
      </c>
      <c r="T196" t="s">
        <v>74</v>
      </c>
      <c r="U196" t="s">
        <v>90</v>
      </c>
      <c r="V196" t="s">
        <v>72</v>
      </c>
      <c r="W196" t="s">
        <v>72</v>
      </c>
      <c r="X196" t="s">
        <v>77</v>
      </c>
      <c r="Y196">
        <v>0</v>
      </c>
      <c r="Z196" t="s">
        <v>72</v>
      </c>
      <c r="AA196" t="s">
        <v>72</v>
      </c>
      <c r="AB196" t="s">
        <v>735</v>
      </c>
      <c r="AC196" t="s">
        <v>72</v>
      </c>
      <c r="AD196" t="s">
        <v>736</v>
      </c>
      <c r="AE196">
        <v>0</v>
      </c>
      <c r="AF196" t="s">
        <v>79</v>
      </c>
      <c r="AG196" t="s">
        <v>94</v>
      </c>
      <c r="AH196" t="s">
        <v>72</v>
      </c>
      <c r="AI196" t="s">
        <v>96</v>
      </c>
      <c r="AJ196" t="s">
        <v>97</v>
      </c>
      <c r="AK196">
        <v>0</v>
      </c>
      <c r="AL196">
        <v>0</v>
      </c>
      <c r="AM196">
        <v>0</v>
      </c>
      <c r="AN196" t="s">
        <v>72</v>
      </c>
      <c r="AO196" t="s">
        <v>72</v>
      </c>
      <c r="AP196" t="s">
        <v>72</v>
      </c>
      <c r="AQ196" t="s">
        <v>72</v>
      </c>
      <c r="AR196" t="s">
        <v>72</v>
      </c>
      <c r="AS196" t="s">
        <v>72</v>
      </c>
      <c r="AT196" t="s">
        <v>72</v>
      </c>
      <c r="AU196" t="s">
        <v>72</v>
      </c>
      <c r="AV196" t="s">
        <v>737</v>
      </c>
      <c r="AW196" t="s">
        <v>72</v>
      </c>
      <c r="AX196" t="s">
        <v>738</v>
      </c>
      <c r="AY196">
        <v>30.370399500000001</v>
      </c>
      <c r="AZ196">
        <v>168</v>
      </c>
      <c r="BA196">
        <v>1.92</v>
      </c>
      <c r="BB196">
        <v>419.4309998</v>
      </c>
      <c r="BC196">
        <v>-0.16662399999999999</v>
      </c>
      <c r="BD196">
        <v>0.21976799999999999</v>
      </c>
      <c r="BE196">
        <v>221.50100710000001</v>
      </c>
      <c r="BF196">
        <v>8.3634596000000005</v>
      </c>
      <c r="BG196">
        <v>0.51666699999999999</v>
      </c>
      <c r="BH196">
        <v>4.7656001999999997</v>
      </c>
      <c r="BI196">
        <v>1.17428</v>
      </c>
      <c r="BJ196">
        <v>100.7779999</v>
      </c>
      <c r="BK196">
        <v>7</v>
      </c>
      <c r="BL196">
        <v>15.942799600000001</v>
      </c>
      <c r="BM196">
        <v>945.5490112</v>
      </c>
      <c r="BN196">
        <v>6761.7597655999998</v>
      </c>
      <c r="BO196">
        <v>233.32600400000001</v>
      </c>
      <c r="BP196">
        <v>347</v>
      </c>
      <c r="BQ196">
        <v>6</v>
      </c>
      <c r="BR196">
        <v>3</v>
      </c>
    </row>
    <row r="197" spans="1:70" x14ac:dyDescent="0.25">
      <c r="A197">
        <v>194</v>
      </c>
      <c r="B197">
        <v>223</v>
      </c>
      <c r="C197">
        <v>88.433000000000007</v>
      </c>
      <c r="D197">
        <v>27.067</v>
      </c>
      <c r="E197" t="s">
        <v>739</v>
      </c>
      <c r="F197">
        <v>2</v>
      </c>
      <c r="G197" t="s">
        <v>740</v>
      </c>
      <c r="H197" t="s">
        <v>72</v>
      </c>
      <c r="I197" t="s">
        <v>72</v>
      </c>
      <c r="J197" t="s">
        <v>72</v>
      </c>
      <c r="K197">
        <v>40</v>
      </c>
      <c r="L197">
        <v>50</v>
      </c>
      <c r="M197">
        <v>40</v>
      </c>
      <c r="N197">
        <v>0</v>
      </c>
      <c r="O197" t="s">
        <v>72</v>
      </c>
      <c r="P197" t="s">
        <v>741</v>
      </c>
      <c r="Q197">
        <v>0</v>
      </c>
      <c r="R197" t="s">
        <v>72</v>
      </c>
      <c r="S197" t="s">
        <v>73</v>
      </c>
      <c r="T197" t="s">
        <v>74</v>
      </c>
      <c r="U197" t="s">
        <v>90</v>
      </c>
      <c r="V197" t="s">
        <v>72</v>
      </c>
      <c r="W197" t="s">
        <v>76</v>
      </c>
      <c r="X197" t="s">
        <v>77</v>
      </c>
      <c r="Y197">
        <v>0</v>
      </c>
      <c r="Z197" t="s">
        <v>72</v>
      </c>
      <c r="AA197" t="s">
        <v>72</v>
      </c>
      <c r="AB197" t="s">
        <v>72</v>
      </c>
      <c r="AC197" t="s">
        <v>72</v>
      </c>
      <c r="AD197" t="s">
        <v>705</v>
      </c>
      <c r="AE197">
        <v>0</v>
      </c>
      <c r="AF197" t="s">
        <v>79</v>
      </c>
      <c r="AG197" t="s">
        <v>94</v>
      </c>
      <c r="AH197" t="s">
        <v>72</v>
      </c>
      <c r="AI197" t="s">
        <v>96</v>
      </c>
      <c r="AJ197" t="s">
        <v>97</v>
      </c>
      <c r="AK197">
        <v>0</v>
      </c>
      <c r="AL197">
        <v>0</v>
      </c>
      <c r="AM197">
        <v>0</v>
      </c>
      <c r="AN197" t="s">
        <v>72</v>
      </c>
      <c r="AO197" t="s">
        <v>72</v>
      </c>
      <c r="AP197" t="s">
        <v>72</v>
      </c>
      <c r="AQ197" t="s">
        <v>72</v>
      </c>
      <c r="AR197" t="s">
        <v>72</v>
      </c>
      <c r="AS197" t="s">
        <v>72</v>
      </c>
      <c r="AT197" t="s">
        <v>72</v>
      </c>
      <c r="AU197" t="s">
        <v>72</v>
      </c>
      <c r="AV197" t="s">
        <v>742</v>
      </c>
      <c r="AW197" t="s">
        <v>72</v>
      </c>
      <c r="AX197" t="s">
        <v>376</v>
      </c>
      <c r="AY197">
        <v>31.3318005</v>
      </c>
      <c r="AZ197">
        <v>247</v>
      </c>
      <c r="BA197">
        <v>-1.92</v>
      </c>
      <c r="BB197">
        <v>419.4309998</v>
      </c>
      <c r="BC197">
        <v>-0.14177600000000001</v>
      </c>
      <c r="BD197">
        <v>0.205537</v>
      </c>
      <c r="BE197">
        <v>117.9250031</v>
      </c>
      <c r="BF197">
        <v>5.7300901</v>
      </c>
      <c r="BG197">
        <v>0.49494899999999997</v>
      </c>
      <c r="BH197">
        <v>2.1444499000000001</v>
      </c>
      <c r="BI197">
        <v>1.2502599999999999</v>
      </c>
      <c r="BJ197">
        <v>55.901699100000002</v>
      </c>
      <c r="BK197">
        <v>7</v>
      </c>
      <c r="BL197">
        <v>16.357400899999998</v>
      </c>
      <c r="BM197">
        <v>905.28002930000002</v>
      </c>
      <c r="BN197">
        <v>6804.9799805000002</v>
      </c>
      <c r="BO197">
        <v>312.3370056</v>
      </c>
      <c r="BP197">
        <v>337</v>
      </c>
      <c r="BQ197">
        <v>6</v>
      </c>
      <c r="BR197">
        <v>3</v>
      </c>
    </row>
    <row r="198" spans="1:70" x14ac:dyDescent="0.25">
      <c r="A198">
        <v>195</v>
      </c>
      <c r="B198">
        <v>8777</v>
      </c>
      <c r="C198">
        <v>88.434777999999895</v>
      </c>
      <c r="D198">
        <v>27.082750000000001</v>
      </c>
      <c r="E198" t="s">
        <v>743</v>
      </c>
      <c r="F198">
        <v>2.5</v>
      </c>
      <c r="G198" t="s">
        <v>225</v>
      </c>
      <c r="H198" t="s">
        <v>744</v>
      </c>
      <c r="I198" t="s">
        <v>72</v>
      </c>
      <c r="J198" t="s">
        <v>562</v>
      </c>
      <c r="K198">
        <v>60</v>
      </c>
      <c r="L198">
        <v>300</v>
      </c>
      <c r="M198">
        <v>50</v>
      </c>
      <c r="N198">
        <v>18000</v>
      </c>
      <c r="O198" t="s">
        <v>89</v>
      </c>
      <c r="P198" t="s">
        <v>72</v>
      </c>
      <c r="Q198">
        <v>30000</v>
      </c>
      <c r="R198" t="s">
        <v>72</v>
      </c>
      <c r="S198" t="s">
        <v>563</v>
      </c>
      <c r="T198" t="s">
        <v>564</v>
      </c>
      <c r="U198" t="s">
        <v>90</v>
      </c>
      <c r="V198" t="s">
        <v>72</v>
      </c>
      <c r="W198" t="s">
        <v>76</v>
      </c>
      <c r="X198" t="s">
        <v>119</v>
      </c>
      <c r="Y198">
        <v>0</v>
      </c>
      <c r="Z198" t="s">
        <v>72</v>
      </c>
      <c r="AA198" t="s">
        <v>72</v>
      </c>
      <c r="AB198" t="s">
        <v>72</v>
      </c>
      <c r="AC198" t="s">
        <v>72</v>
      </c>
      <c r="AD198" t="s">
        <v>655</v>
      </c>
      <c r="AE198">
        <v>40</v>
      </c>
      <c r="AF198" t="s">
        <v>79</v>
      </c>
      <c r="AG198" t="s">
        <v>94</v>
      </c>
      <c r="AH198" t="s">
        <v>95</v>
      </c>
      <c r="AI198" t="s">
        <v>121</v>
      </c>
      <c r="AJ198" t="s">
        <v>97</v>
      </c>
      <c r="AK198">
        <v>0</v>
      </c>
      <c r="AL198">
        <v>0</v>
      </c>
      <c r="AM198">
        <v>0</v>
      </c>
      <c r="AN198" t="s">
        <v>192</v>
      </c>
      <c r="AO198" t="s">
        <v>82</v>
      </c>
      <c r="AP198" t="s">
        <v>566</v>
      </c>
      <c r="AQ198" t="s">
        <v>72</v>
      </c>
      <c r="AR198" t="s">
        <v>72</v>
      </c>
      <c r="AS198" t="s">
        <v>72</v>
      </c>
      <c r="AT198" t="s">
        <v>72</v>
      </c>
      <c r="AU198" t="s">
        <v>72</v>
      </c>
      <c r="AV198" t="s">
        <v>567</v>
      </c>
      <c r="AW198" t="s">
        <v>72</v>
      </c>
      <c r="AX198" t="s">
        <v>568</v>
      </c>
      <c r="AY198">
        <v>24.359600100000002</v>
      </c>
      <c r="AZ198">
        <v>89</v>
      </c>
      <c r="BA198">
        <v>1.28</v>
      </c>
      <c r="BB198">
        <v>404.38500979999998</v>
      </c>
      <c r="BC198">
        <v>-0.12546399999999999</v>
      </c>
      <c r="BD198">
        <v>0.150453</v>
      </c>
      <c r="BE198">
        <v>12.5</v>
      </c>
      <c r="BF198">
        <v>5.5475602000000004</v>
      </c>
      <c r="BG198">
        <v>0.51388900000000004</v>
      </c>
      <c r="BH198">
        <v>1.2572401</v>
      </c>
      <c r="BI198">
        <v>0.897756</v>
      </c>
      <c r="BJ198">
        <v>160.0780029</v>
      </c>
      <c r="BK198">
        <v>7</v>
      </c>
      <c r="BL198">
        <v>17.9869995</v>
      </c>
      <c r="BM198">
        <v>228.10400390000001</v>
      </c>
      <c r="BN198">
        <v>6169.7299805000002</v>
      </c>
      <c r="BO198">
        <v>133.21000670000001</v>
      </c>
      <c r="BP198">
        <v>294</v>
      </c>
      <c r="BQ198">
        <v>6</v>
      </c>
      <c r="BR198">
        <v>7</v>
      </c>
    </row>
    <row r="199" spans="1:70" x14ac:dyDescent="0.25">
      <c r="A199">
        <v>196</v>
      </c>
      <c r="B199">
        <v>10474</v>
      </c>
      <c r="C199">
        <v>88.433795000000003</v>
      </c>
      <c r="D199">
        <v>27.053173000000001</v>
      </c>
      <c r="E199" t="s">
        <v>745</v>
      </c>
      <c r="F199">
        <v>1</v>
      </c>
      <c r="G199" t="s">
        <v>162</v>
      </c>
      <c r="H199" t="s">
        <v>72</v>
      </c>
      <c r="I199" t="s">
        <v>72</v>
      </c>
      <c r="J199" t="s">
        <v>88</v>
      </c>
      <c r="K199">
        <v>65</v>
      </c>
      <c r="L199">
        <v>300</v>
      </c>
      <c r="M199">
        <v>50</v>
      </c>
      <c r="N199">
        <v>19500</v>
      </c>
      <c r="O199" t="s">
        <v>89</v>
      </c>
      <c r="P199" t="s">
        <v>72</v>
      </c>
      <c r="Q199">
        <v>19500</v>
      </c>
      <c r="R199" t="s">
        <v>72</v>
      </c>
      <c r="S199" t="s">
        <v>73</v>
      </c>
      <c r="T199" t="s">
        <v>74</v>
      </c>
      <c r="U199" t="s">
        <v>90</v>
      </c>
      <c r="V199" t="s">
        <v>72</v>
      </c>
      <c r="W199" t="s">
        <v>76</v>
      </c>
      <c r="X199" t="s">
        <v>77</v>
      </c>
      <c r="Y199">
        <v>2013</v>
      </c>
      <c r="Z199" t="s">
        <v>72</v>
      </c>
      <c r="AA199" t="s">
        <v>72</v>
      </c>
      <c r="AB199" t="s">
        <v>72</v>
      </c>
      <c r="AC199" t="s">
        <v>72</v>
      </c>
      <c r="AD199" t="s">
        <v>72</v>
      </c>
      <c r="AE199">
        <v>0</v>
      </c>
      <c r="AF199" t="s">
        <v>186</v>
      </c>
      <c r="AG199" t="s">
        <v>94</v>
      </c>
      <c r="AH199" t="s">
        <v>95</v>
      </c>
      <c r="AI199" t="s">
        <v>96</v>
      </c>
      <c r="AJ199" t="s">
        <v>97</v>
      </c>
      <c r="AK199">
        <v>0</v>
      </c>
      <c r="AL199">
        <v>0</v>
      </c>
      <c r="AM199">
        <v>0</v>
      </c>
      <c r="AN199" t="s">
        <v>181</v>
      </c>
      <c r="AO199" t="s">
        <v>82</v>
      </c>
      <c r="AP199" t="s">
        <v>114</v>
      </c>
      <c r="AQ199" t="s">
        <v>72</v>
      </c>
      <c r="AR199" t="s">
        <v>72</v>
      </c>
      <c r="AS199" t="s">
        <v>72</v>
      </c>
      <c r="AT199" t="s">
        <v>72</v>
      </c>
      <c r="AU199" t="s">
        <v>72</v>
      </c>
      <c r="AV199" t="s">
        <v>72</v>
      </c>
      <c r="AW199" t="s">
        <v>72</v>
      </c>
      <c r="AX199" t="s">
        <v>72</v>
      </c>
      <c r="AY199">
        <v>21.119800600000001</v>
      </c>
      <c r="AZ199">
        <v>227</v>
      </c>
      <c r="BA199">
        <v>1.28</v>
      </c>
      <c r="BB199">
        <v>489.01699830000001</v>
      </c>
      <c r="BC199">
        <v>-0.16514300000000001</v>
      </c>
      <c r="BD199">
        <v>0.22012000000000001</v>
      </c>
      <c r="BE199">
        <v>213.6000061</v>
      </c>
      <c r="BF199">
        <v>5.4863901000000004</v>
      </c>
      <c r="BG199">
        <v>0.50427200000000005</v>
      </c>
      <c r="BH199">
        <v>0.77992600000000001</v>
      </c>
      <c r="BI199">
        <v>1.2144098999999999</v>
      </c>
      <c r="BJ199">
        <v>53.033000899999998</v>
      </c>
      <c r="BK199">
        <v>4</v>
      </c>
      <c r="BL199">
        <v>38.287700700000002</v>
      </c>
      <c r="BM199">
        <v>735.69702150000001</v>
      </c>
      <c r="BN199">
        <v>6193.7998047000001</v>
      </c>
      <c r="BO199">
        <v>338.74899290000002</v>
      </c>
      <c r="BP199">
        <v>435</v>
      </c>
      <c r="BQ199">
        <v>6</v>
      </c>
      <c r="BR199">
        <v>7</v>
      </c>
    </row>
    <row r="200" spans="1:70" x14ac:dyDescent="0.25">
      <c r="A200">
        <v>197</v>
      </c>
      <c r="B200">
        <v>10473</v>
      </c>
      <c r="C200">
        <v>88.434172000000004</v>
      </c>
      <c r="D200">
        <v>27.054289000000001</v>
      </c>
      <c r="E200" t="s">
        <v>746</v>
      </c>
      <c r="F200">
        <v>1</v>
      </c>
      <c r="G200" t="s">
        <v>102</v>
      </c>
      <c r="H200" t="s">
        <v>72</v>
      </c>
      <c r="I200" t="s">
        <v>72</v>
      </c>
      <c r="J200" t="s">
        <v>88</v>
      </c>
      <c r="K200">
        <v>60</v>
      </c>
      <c r="L200">
        <v>20</v>
      </c>
      <c r="M200">
        <v>70</v>
      </c>
      <c r="N200">
        <v>1200</v>
      </c>
      <c r="O200" t="s">
        <v>89</v>
      </c>
      <c r="P200" t="s">
        <v>72</v>
      </c>
      <c r="Q200">
        <v>1200</v>
      </c>
      <c r="R200" t="s">
        <v>72</v>
      </c>
      <c r="S200" t="s">
        <v>73</v>
      </c>
      <c r="T200" t="s">
        <v>74</v>
      </c>
      <c r="U200" t="s">
        <v>90</v>
      </c>
      <c r="V200" t="s">
        <v>72</v>
      </c>
      <c r="W200" t="s">
        <v>76</v>
      </c>
      <c r="X200" t="s">
        <v>77</v>
      </c>
      <c r="Y200">
        <v>2013</v>
      </c>
      <c r="Z200" t="s">
        <v>72</v>
      </c>
      <c r="AA200" t="s">
        <v>72</v>
      </c>
      <c r="AB200" t="s">
        <v>72</v>
      </c>
      <c r="AC200" t="s">
        <v>72</v>
      </c>
      <c r="AD200" t="s">
        <v>72</v>
      </c>
      <c r="AE200">
        <v>0</v>
      </c>
      <c r="AF200" t="s">
        <v>186</v>
      </c>
      <c r="AG200" t="s">
        <v>94</v>
      </c>
      <c r="AH200" t="s">
        <v>95</v>
      </c>
      <c r="AI200" t="s">
        <v>96</v>
      </c>
      <c r="AJ200" t="s">
        <v>97</v>
      </c>
      <c r="AK200">
        <v>0</v>
      </c>
      <c r="AL200">
        <v>0</v>
      </c>
      <c r="AM200">
        <v>0</v>
      </c>
      <c r="AN200" t="s">
        <v>181</v>
      </c>
      <c r="AO200" t="s">
        <v>82</v>
      </c>
      <c r="AP200" t="s">
        <v>114</v>
      </c>
      <c r="AQ200" t="s">
        <v>72</v>
      </c>
      <c r="AR200" t="s">
        <v>72</v>
      </c>
      <c r="AS200" t="s">
        <v>72</v>
      </c>
      <c r="AT200" t="s">
        <v>72</v>
      </c>
      <c r="AU200" t="s">
        <v>72</v>
      </c>
      <c r="AV200" t="s">
        <v>72</v>
      </c>
      <c r="AW200" t="s">
        <v>72</v>
      </c>
      <c r="AX200" t="s">
        <v>72</v>
      </c>
      <c r="AY200">
        <v>21.222700100000001</v>
      </c>
      <c r="AZ200">
        <v>203</v>
      </c>
      <c r="BA200">
        <v>0.64</v>
      </c>
      <c r="BB200">
        <v>467.368988</v>
      </c>
      <c r="BC200">
        <v>-0.13927200000000001</v>
      </c>
      <c r="BD200">
        <v>0.17699599999999999</v>
      </c>
      <c r="BE200">
        <v>177.65800479999999</v>
      </c>
      <c r="BF200">
        <v>7.7891202000000002</v>
      </c>
      <c r="BG200">
        <v>0.55555500000000002</v>
      </c>
      <c r="BH200">
        <v>3.3607499999999999</v>
      </c>
      <c r="BI200">
        <v>1.2066801</v>
      </c>
      <c r="BJ200">
        <v>62.5</v>
      </c>
      <c r="BK200">
        <v>7</v>
      </c>
      <c r="BL200">
        <v>34.505298600000003</v>
      </c>
      <c r="BM200">
        <v>793.82397460000004</v>
      </c>
      <c r="BN200">
        <v>6266.5400391000003</v>
      </c>
      <c r="BO200">
        <v>258.11099239999999</v>
      </c>
      <c r="BP200">
        <v>435</v>
      </c>
      <c r="BQ200">
        <v>6</v>
      </c>
      <c r="BR200">
        <v>7</v>
      </c>
    </row>
    <row r="201" spans="1:70" x14ac:dyDescent="0.25">
      <c r="A201">
        <v>198</v>
      </c>
      <c r="B201">
        <v>10837</v>
      </c>
      <c r="C201">
        <v>88.436246999999895</v>
      </c>
      <c r="D201">
        <v>27.073957</v>
      </c>
      <c r="E201" t="s">
        <v>747</v>
      </c>
      <c r="F201">
        <v>1</v>
      </c>
      <c r="G201" t="s">
        <v>102</v>
      </c>
      <c r="H201" t="s">
        <v>72</v>
      </c>
      <c r="I201" t="s">
        <v>72</v>
      </c>
      <c r="J201" t="s">
        <v>88</v>
      </c>
      <c r="K201">
        <v>20</v>
      </c>
      <c r="L201">
        <v>10</v>
      </c>
      <c r="M201">
        <v>15</v>
      </c>
      <c r="N201">
        <v>200</v>
      </c>
      <c r="O201" t="s">
        <v>89</v>
      </c>
      <c r="P201" t="s">
        <v>72</v>
      </c>
      <c r="Q201">
        <v>200</v>
      </c>
      <c r="R201" t="s">
        <v>72</v>
      </c>
      <c r="S201" t="s">
        <v>73</v>
      </c>
      <c r="T201" t="s">
        <v>74</v>
      </c>
      <c r="U201" t="s">
        <v>90</v>
      </c>
      <c r="V201" t="s">
        <v>748</v>
      </c>
      <c r="W201" t="s">
        <v>76</v>
      </c>
      <c r="X201" t="s">
        <v>77</v>
      </c>
      <c r="Y201">
        <v>2011</v>
      </c>
      <c r="Z201" t="s">
        <v>72</v>
      </c>
      <c r="AA201" t="s">
        <v>72</v>
      </c>
      <c r="AB201" t="s">
        <v>72</v>
      </c>
      <c r="AC201" t="s">
        <v>72</v>
      </c>
      <c r="AD201" t="s">
        <v>93</v>
      </c>
      <c r="AE201">
        <v>0</v>
      </c>
      <c r="AF201" t="s">
        <v>79</v>
      </c>
      <c r="AG201" t="s">
        <v>94</v>
      </c>
      <c r="AH201" t="s">
        <v>95</v>
      </c>
      <c r="AI201" t="s">
        <v>96</v>
      </c>
      <c r="AJ201" t="s">
        <v>97</v>
      </c>
      <c r="AK201">
        <v>0</v>
      </c>
      <c r="AL201">
        <v>0</v>
      </c>
      <c r="AM201">
        <v>0</v>
      </c>
      <c r="AN201" t="s">
        <v>98</v>
      </c>
      <c r="AO201" t="s">
        <v>82</v>
      </c>
      <c r="AP201" t="s">
        <v>99</v>
      </c>
      <c r="AQ201" t="s">
        <v>72</v>
      </c>
      <c r="AR201" t="s">
        <v>72</v>
      </c>
      <c r="AS201" t="s">
        <v>72</v>
      </c>
      <c r="AT201" t="s">
        <v>72</v>
      </c>
      <c r="AU201" t="s">
        <v>72</v>
      </c>
      <c r="AV201" t="s">
        <v>72</v>
      </c>
      <c r="AW201" t="s">
        <v>72</v>
      </c>
      <c r="AX201" t="s">
        <v>103</v>
      </c>
      <c r="AY201">
        <v>30.9778004</v>
      </c>
      <c r="AZ201">
        <v>217</v>
      </c>
      <c r="BA201">
        <v>2.5599999000000002</v>
      </c>
      <c r="BB201">
        <v>445.58801269999998</v>
      </c>
      <c r="BC201">
        <v>-0.14518500000000001</v>
      </c>
      <c r="BD201">
        <v>0.20297699999999999</v>
      </c>
      <c r="BE201">
        <v>421.67800899999997</v>
      </c>
      <c r="BF201">
        <v>6.0114597999999999</v>
      </c>
      <c r="BG201">
        <v>0.525926</v>
      </c>
      <c r="BH201">
        <v>1.99701</v>
      </c>
      <c r="BI201">
        <v>1.2565299999999999</v>
      </c>
      <c r="BJ201">
        <v>505.59399409999997</v>
      </c>
      <c r="BK201">
        <v>4</v>
      </c>
      <c r="BL201">
        <v>9.1273298</v>
      </c>
      <c r="BM201">
        <v>1002.8900146</v>
      </c>
      <c r="BN201">
        <v>6230.2900391000003</v>
      </c>
      <c r="BO201">
        <v>268.09100339999998</v>
      </c>
      <c r="BP201">
        <v>468</v>
      </c>
      <c r="BQ201">
        <v>6</v>
      </c>
      <c r="BR201">
        <v>3</v>
      </c>
    </row>
    <row r="202" spans="1:70" x14ac:dyDescent="0.25">
      <c r="A202">
        <v>199</v>
      </c>
      <c r="B202">
        <v>10447</v>
      </c>
      <c r="C202">
        <v>88.435513</v>
      </c>
      <c r="D202">
        <v>27.055069</v>
      </c>
      <c r="E202" t="s">
        <v>749</v>
      </c>
      <c r="F202">
        <v>1</v>
      </c>
      <c r="G202" t="s">
        <v>130</v>
      </c>
      <c r="H202" t="s">
        <v>72</v>
      </c>
      <c r="I202" t="s">
        <v>72</v>
      </c>
      <c r="J202" t="s">
        <v>88</v>
      </c>
      <c r="K202">
        <v>35</v>
      </c>
      <c r="L202">
        <v>20</v>
      </c>
      <c r="M202">
        <v>30</v>
      </c>
      <c r="N202">
        <v>700</v>
      </c>
      <c r="O202" t="s">
        <v>89</v>
      </c>
      <c r="P202" t="s">
        <v>72</v>
      </c>
      <c r="Q202">
        <v>700</v>
      </c>
      <c r="R202" t="s">
        <v>72</v>
      </c>
      <c r="S202" t="s">
        <v>73</v>
      </c>
      <c r="T202" t="s">
        <v>74</v>
      </c>
      <c r="U202" t="s">
        <v>90</v>
      </c>
      <c r="V202" t="s">
        <v>72</v>
      </c>
      <c r="W202" t="s">
        <v>76</v>
      </c>
      <c r="X202" t="s">
        <v>77</v>
      </c>
      <c r="Y202">
        <v>2013</v>
      </c>
      <c r="Z202" t="s">
        <v>72</v>
      </c>
      <c r="AA202" t="s">
        <v>72</v>
      </c>
      <c r="AB202" t="s">
        <v>72</v>
      </c>
      <c r="AC202" t="s">
        <v>72</v>
      </c>
      <c r="AD202" t="s">
        <v>72</v>
      </c>
      <c r="AE202">
        <v>0</v>
      </c>
      <c r="AF202" t="s">
        <v>186</v>
      </c>
      <c r="AG202" t="s">
        <v>94</v>
      </c>
      <c r="AH202" t="s">
        <v>95</v>
      </c>
      <c r="AI202" t="s">
        <v>96</v>
      </c>
      <c r="AJ202" t="s">
        <v>113</v>
      </c>
      <c r="AK202">
        <v>0</v>
      </c>
      <c r="AL202">
        <v>0</v>
      </c>
      <c r="AM202">
        <v>0</v>
      </c>
      <c r="AN202" t="s">
        <v>181</v>
      </c>
      <c r="AO202" t="s">
        <v>82</v>
      </c>
      <c r="AP202" t="s">
        <v>114</v>
      </c>
      <c r="AQ202" t="s">
        <v>72</v>
      </c>
      <c r="AR202" t="s">
        <v>72</v>
      </c>
      <c r="AS202" t="s">
        <v>72</v>
      </c>
      <c r="AT202" t="s">
        <v>72</v>
      </c>
      <c r="AU202" t="s">
        <v>72</v>
      </c>
      <c r="AV202" t="s">
        <v>72</v>
      </c>
      <c r="AW202" t="s">
        <v>72</v>
      </c>
      <c r="AX202" t="s">
        <v>72</v>
      </c>
      <c r="AY202">
        <v>29.005600000000001</v>
      </c>
      <c r="AZ202">
        <v>166</v>
      </c>
      <c r="BA202">
        <v>-1.28</v>
      </c>
      <c r="BB202">
        <v>450.52099609999999</v>
      </c>
      <c r="BC202">
        <v>-0.16460900000000001</v>
      </c>
      <c r="BD202">
        <v>0.20307800000000001</v>
      </c>
      <c r="BE202">
        <v>25</v>
      </c>
      <c r="BF202">
        <v>5.8258599999999996</v>
      </c>
      <c r="BG202">
        <v>0.49122700000000002</v>
      </c>
      <c r="BH202">
        <v>2.0488501000000001</v>
      </c>
      <c r="BI202">
        <v>1.1823399999999999</v>
      </c>
      <c r="BJ202">
        <v>162.5</v>
      </c>
      <c r="BK202">
        <v>7</v>
      </c>
      <c r="BL202">
        <v>32.211799599999999</v>
      </c>
      <c r="BM202">
        <v>943.81201169999997</v>
      </c>
      <c r="BN202">
        <v>6250.3100586</v>
      </c>
      <c r="BO202">
        <v>230.8560028</v>
      </c>
      <c r="BP202">
        <v>526</v>
      </c>
      <c r="BQ202">
        <v>6</v>
      </c>
      <c r="BR202">
        <v>7</v>
      </c>
    </row>
    <row r="203" spans="1:70" x14ac:dyDescent="0.25">
      <c r="A203">
        <v>200</v>
      </c>
      <c r="B203">
        <v>10617</v>
      </c>
      <c r="C203">
        <v>88.435642999999899</v>
      </c>
      <c r="D203">
        <v>27.054309</v>
      </c>
      <c r="E203" t="s">
        <v>750</v>
      </c>
      <c r="F203">
        <v>15</v>
      </c>
      <c r="G203" t="s">
        <v>102</v>
      </c>
      <c r="H203" t="s">
        <v>72</v>
      </c>
      <c r="I203" t="s">
        <v>72</v>
      </c>
      <c r="J203" t="s">
        <v>88</v>
      </c>
      <c r="K203">
        <v>1000</v>
      </c>
      <c r="L203">
        <v>250</v>
      </c>
      <c r="M203">
        <v>700</v>
      </c>
      <c r="N203">
        <v>250000</v>
      </c>
      <c r="O203" t="s">
        <v>89</v>
      </c>
      <c r="P203" t="s">
        <v>72</v>
      </c>
      <c r="Q203">
        <v>3750000</v>
      </c>
      <c r="R203" t="s">
        <v>72</v>
      </c>
      <c r="S203" t="s">
        <v>73</v>
      </c>
      <c r="T203" t="s">
        <v>74</v>
      </c>
      <c r="U203" t="s">
        <v>90</v>
      </c>
      <c r="V203" t="s">
        <v>751</v>
      </c>
      <c r="W203" t="s">
        <v>76</v>
      </c>
      <c r="X203" t="s">
        <v>119</v>
      </c>
      <c r="Y203">
        <v>2012</v>
      </c>
      <c r="Z203" t="s">
        <v>72</v>
      </c>
      <c r="AA203" t="s">
        <v>72</v>
      </c>
      <c r="AB203" t="s">
        <v>72</v>
      </c>
      <c r="AC203" t="s">
        <v>72</v>
      </c>
      <c r="AD203" t="s">
        <v>751</v>
      </c>
      <c r="AE203">
        <v>0</v>
      </c>
      <c r="AF203" t="s">
        <v>148</v>
      </c>
      <c r="AG203" t="s">
        <v>94</v>
      </c>
      <c r="AH203" t="s">
        <v>95</v>
      </c>
      <c r="AI203" t="s">
        <v>121</v>
      </c>
      <c r="AJ203" t="s">
        <v>113</v>
      </c>
      <c r="AK203">
        <v>0</v>
      </c>
      <c r="AL203">
        <v>0</v>
      </c>
      <c r="AM203">
        <v>0</v>
      </c>
      <c r="AN203" t="s">
        <v>181</v>
      </c>
      <c r="AO203" t="s">
        <v>82</v>
      </c>
      <c r="AP203" t="s">
        <v>114</v>
      </c>
      <c r="AQ203" t="s">
        <v>72</v>
      </c>
      <c r="AR203" t="s">
        <v>72</v>
      </c>
      <c r="AS203" t="s">
        <v>72</v>
      </c>
      <c r="AT203" t="s">
        <v>72</v>
      </c>
      <c r="AU203" t="s">
        <v>72</v>
      </c>
      <c r="AV203" t="s">
        <v>72</v>
      </c>
      <c r="AW203" t="s">
        <v>72</v>
      </c>
      <c r="AX203" t="s">
        <v>103</v>
      </c>
      <c r="AY203">
        <v>29.565099700000001</v>
      </c>
      <c r="AZ203">
        <v>163</v>
      </c>
      <c r="BA203">
        <v>-1.28</v>
      </c>
      <c r="BB203">
        <v>450.52099609999999</v>
      </c>
      <c r="BC203">
        <v>-0.15069399999999999</v>
      </c>
      <c r="BD203">
        <v>0.175009</v>
      </c>
      <c r="BE203">
        <v>112.5</v>
      </c>
      <c r="BF203">
        <v>5.4999298999999997</v>
      </c>
      <c r="BG203">
        <v>0.47777700000000001</v>
      </c>
      <c r="BH203">
        <v>1.5276700000000001</v>
      </c>
      <c r="BI203">
        <v>1.1270500000000001</v>
      </c>
      <c r="BJ203">
        <v>75</v>
      </c>
      <c r="BK203">
        <v>7</v>
      </c>
      <c r="BL203">
        <v>34.505298600000003</v>
      </c>
      <c r="BM203">
        <v>941.40899660000002</v>
      </c>
      <c r="BN203">
        <v>6173.3901366999999</v>
      </c>
      <c r="BO203">
        <v>229.28900150000001</v>
      </c>
      <c r="BP203">
        <v>500</v>
      </c>
      <c r="BQ203">
        <v>6</v>
      </c>
      <c r="BR203">
        <v>7</v>
      </c>
    </row>
    <row r="204" spans="1:70" x14ac:dyDescent="0.25">
      <c r="A204">
        <v>201</v>
      </c>
      <c r="B204">
        <v>10277</v>
      </c>
      <c r="C204">
        <v>88.436110999999897</v>
      </c>
      <c r="D204">
        <v>27.053944000000001</v>
      </c>
      <c r="E204" t="s">
        <v>752</v>
      </c>
      <c r="F204">
        <v>1</v>
      </c>
      <c r="G204" t="s">
        <v>148</v>
      </c>
      <c r="H204" t="s">
        <v>72</v>
      </c>
      <c r="I204" t="s">
        <v>72</v>
      </c>
      <c r="J204" t="s">
        <v>88</v>
      </c>
      <c r="K204">
        <v>25</v>
      </c>
      <c r="L204">
        <v>50</v>
      </c>
      <c r="M204">
        <v>15</v>
      </c>
      <c r="N204">
        <v>1250</v>
      </c>
      <c r="O204" t="s">
        <v>89</v>
      </c>
      <c r="P204" t="s">
        <v>72</v>
      </c>
      <c r="Q204">
        <v>1250</v>
      </c>
      <c r="R204" t="s">
        <v>72</v>
      </c>
      <c r="S204" t="s">
        <v>73</v>
      </c>
      <c r="T204" t="s">
        <v>74</v>
      </c>
      <c r="U204" t="s">
        <v>90</v>
      </c>
      <c r="V204" t="s">
        <v>753</v>
      </c>
      <c r="W204" t="s">
        <v>76</v>
      </c>
      <c r="X204" t="s">
        <v>145</v>
      </c>
      <c r="Y204">
        <v>2010</v>
      </c>
      <c r="Z204" t="s">
        <v>72</v>
      </c>
      <c r="AA204" t="s">
        <v>72</v>
      </c>
      <c r="AB204" t="s">
        <v>72</v>
      </c>
      <c r="AC204" t="s">
        <v>72</v>
      </c>
      <c r="AD204" t="s">
        <v>754</v>
      </c>
      <c r="AE204">
        <v>5</v>
      </c>
      <c r="AF204" t="s">
        <v>148</v>
      </c>
      <c r="AG204" t="s">
        <v>94</v>
      </c>
      <c r="AH204" t="s">
        <v>95</v>
      </c>
      <c r="AI204" t="s">
        <v>80</v>
      </c>
      <c r="AJ204" t="s">
        <v>97</v>
      </c>
      <c r="AK204">
        <v>0</v>
      </c>
      <c r="AL204">
        <v>0</v>
      </c>
      <c r="AM204">
        <v>0</v>
      </c>
      <c r="AN204" t="s">
        <v>181</v>
      </c>
      <c r="AO204" t="s">
        <v>82</v>
      </c>
      <c r="AP204" t="s">
        <v>114</v>
      </c>
      <c r="AQ204" t="s">
        <v>72</v>
      </c>
      <c r="AR204" t="s">
        <v>72</v>
      </c>
      <c r="AS204" t="s">
        <v>72</v>
      </c>
      <c r="AT204" t="s">
        <v>72</v>
      </c>
      <c r="AU204" t="s">
        <v>72</v>
      </c>
      <c r="AV204" t="s">
        <v>72</v>
      </c>
      <c r="AW204" t="s">
        <v>72</v>
      </c>
      <c r="AX204" t="s">
        <v>110</v>
      </c>
      <c r="AY204">
        <v>27.8346996</v>
      </c>
      <c r="AZ204">
        <v>170</v>
      </c>
      <c r="BA204">
        <v>-1.28</v>
      </c>
      <c r="BB204">
        <v>465.43301389999999</v>
      </c>
      <c r="BC204">
        <v>-0.14102799999999999</v>
      </c>
      <c r="BD204">
        <v>0.16375600000000001</v>
      </c>
      <c r="BE204">
        <v>152.0690002</v>
      </c>
      <c r="BF204">
        <v>8.5031099000000001</v>
      </c>
      <c r="BG204">
        <v>0.45613999999999999</v>
      </c>
      <c r="BH204">
        <v>4.3256898000000001</v>
      </c>
      <c r="BI204">
        <v>1.1042799999999999</v>
      </c>
      <c r="BJ204">
        <v>37.5</v>
      </c>
      <c r="BK204">
        <v>7</v>
      </c>
      <c r="BL204">
        <v>29.9922009</v>
      </c>
      <c r="BM204">
        <v>972.27197269999999</v>
      </c>
      <c r="BN204">
        <v>6120.7797852000003</v>
      </c>
      <c r="BO204">
        <v>232.69599909999999</v>
      </c>
      <c r="BP204">
        <v>502</v>
      </c>
      <c r="BQ204">
        <v>6</v>
      </c>
      <c r="BR204">
        <v>7</v>
      </c>
    </row>
    <row r="205" spans="1:70" x14ac:dyDescent="0.25">
      <c r="A205">
        <v>202</v>
      </c>
      <c r="B205">
        <v>10591</v>
      </c>
      <c r="C205">
        <v>88.441225000000003</v>
      </c>
      <c r="D205">
        <v>27.079578000000001</v>
      </c>
      <c r="E205" t="s">
        <v>755</v>
      </c>
      <c r="F205">
        <v>5</v>
      </c>
      <c r="G205" t="s">
        <v>130</v>
      </c>
      <c r="H205" t="s">
        <v>72</v>
      </c>
      <c r="I205" t="s">
        <v>72</v>
      </c>
      <c r="J205" t="s">
        <v>88</v>
      </c>
      <c r="K205">
        <v>0</v>
      </c>
      <c r="L205">
        <v>180</v>
      </c>
      <c r="M205">
        <v>0</v>
      </c>
      <c r="N205">
        <v>0</v>
      </c>
      <c r="O205" t="s">
        <v>105</v>
      </c>
      <c r="P205" t="s">
        <v>72</v>
      </c>
      <c r="Q205">
        <v>0</v>
      </c>
      <c r="R205" t="s">
        <v>72</v>
      </c>
      <c r="S205" t="s">
        <v>73</v>
      </c>
      <c r="T205" t="s">
        <v>74</v>
      </c>
      <c r="U205" t="s">
        <v>90</v>
      </c>
      <c r="V205" t="s">
        <v>756</v>
      </c>
      <c r="W205" t="s">
        <v>76</v>
      </c>
      <c r="X205" t="s">
        <v>77</v>
      </c>
      <c r="Y205">
        <v>1969</v>
      </c>
      <c r="Z205" t="s">
        <v>72</v>
      </c>
      <c r="AA205" t="s">
        <v>72</v>
      </c>
      <c r="AB205" t="s">
        <v>72</v>
      </c>
      <c r="AC205" t="s">
        <v>72</v>
      </c>
      <c r="AD205" t="s">
        <v>757</v>
      </c>
      <c r="AE205">
        <v>0</v>
      </c>
      <c r="AF205" t="s">
        <v>79</v>
      </c>
      <c r="AG205" t="s">
        <v>128</v>
      </c>
      <c r="AH205" t="s">
        <v>95</v>
      </c>
      <c r="AI205" t="s">
        <v>96</v>
      </c>
      <c r="AJ205" t="s">
        <v>97</v>
      </c>
      <c r="AK205">
        <v>0</v>
      </c>
      <c r="AL205">
        <v>0</v>
      </c>
      <c r="AM205">
        <v>0</v>
      </c>
      <c r="AN205" t="s">
        <v>98</v>
      </c>
      <c r="AO205" t="s">
        <v>82</v>
      </c>
      <c r="AP205" t="s">
        <v>99</v>
      </c>
      <c r="AQ205" t="s">
        <v>72</v>
      </c>
      <c r="AR205" t="s">
        <v>72</v>
      </c>
      <c r="AS205" t="s">
        <v>72</v>
      </c>
      <c r="AT205" t="s">
        <v>72</v>
      </c>
      <c r="AU205" t="s">
        <v>72</v>
      </c>
      <c r="AV205" t="s">
        <v>72</v>
      </c>
      <c r="AW205" t="s">
        <v>72</v>
      </c>
      <c r="AX205" t="s">
        <v>72</v>
      </c>
      <c r="AY205">
        <v>21.527299899999999</v>
      </c>
      <c r="AZ205">
        <v>231</v>
      </c>
      <c r="BA205">
        <v>1.92</v>
      </c>
      <c r="BB205">
        <v>459.5780029</v>
      </c>
      <c r="BC205">
        <v>-0.14915700000000001</v>
      </c>
      <c r="BD205">
        <v>0.20425599999999999</v>
      </c>
      <c r="BE205">
        <v>306.44100950000001</v>
      </c>
      <c r="BF205">
        <v>6.1640100000000002</v>
      </c>
      <c r="BG205">
        <v>0.51587300000000003</v>
      </c>
      <c r="BH205">
        <v>1.71143</v>
      </c>
      <c r="BI205">
        <v>0.90186200000000005</v>
      </c>
      <c r="BJ205">
        <v>337.73098750000003</v>
      </c>
      <c r="BK205">
        <v>7</v>
      </c>
      <c r="BL205">
        <v>9.0352802000000008</v>
      </c>
      <c r="BM205">
        <v>913.18499759999997</v>
      </c>
      <c r="BN205">
        <v>5606.5</v>
      </c>
      <c r="BO205">
        <v>329.53399660000002</v>
      </c>
      <c r="BP205">
        <v>329</v>
      </c>
      <c r="BQ205">
        <v>6</v>
      </c>
      <c r="BR205">
        <v>3</v>
      </c>
    </row>
    <row r="206" spans="1:70" x14ac:dyDescent="0.25">
      <c r="A206">
        <v>203</v>
      </c>
      <c r="B206">
        <v>203</v>
      </c>
      <c r="C206">
        <v>88.441999999999894</v>
      </c>
      <c r="D206">
        <v>27.079999999999899</v>
      </c>
      <c r="E206" t="s">
        <v>758</v>
      </c>
      <c r="F206">
        <v>5</v>
      </c>
      <c r="G206" t="s">
        <v>759</v>
      </c>
      <c r="H206" t="s">
        <v>72</v>
      </c>
      <c r="I206" t="s">
        <v>72</v>
      </c>
      <c r="J206" t="s">
        <v>72</v>
      </c>
      <c r="K206">
        <v>0</v>
      </c>
      <c r="L206">
        <v>180</v>
      </c>
      <c r="M206">
        <v>0</v>
      </c>
      <c r="N206">
        <v>0</v>
      </c>
      <c r="O206" t="s">
        <v>760</v>
      </c>
      <c r="P206" t="s">
        <v>273</v>
      </c>
      <c r="Q206">
        <v>0</v>
      </c>
      <c r="R206" t="s">
        <v>72</v>
      </c>
      <c r="S206" t="s">
        <v>73</v>
      </c>
      <c r="T206" t="s">
        <v>74</v>
      </c>
      <c r="U206" t="s">
        <v>90</v>
      </c>
      <c r="V206" t="s">
        <v>72</v>
      </c>
      <c r="W206" t="s">
        <v>72</v>
      </c>
      <c r="X206" t="s">
        <v>77</v>
      </c>
      <c r="Y206">
        <v>0</v>
      </c>
      <c r="Z206" t="s">
        <v>72</v>
      </c>
      <c r="AA206" t="s">
        <v>72</v>
      </c>
      <c r="AB206" t="s">
        <v>761</v>
      </c>
      <c r="AC206" t="s">
        <v>72</v>
      </c>
      <c r="AD206" t="s">
        <v>757</v>
      </c>
      <c r="AE206">
        <v>0</v>
      </c>
      <c r="AF206" t="s">
        <v>79</v>
      </c>
      <c r="AG206" t="s">
        <v>128</v>
      </c>
      <c r="AH206" t="s">
        <v>72</v>
      </c>
      <c r="AI206" t="s">
        <v>96</v>
      </c>
      <c r="AJ206" t="s">
        <v>97</v>
      </c>
      <c r="AK206">
        <v>0</v>
      </c>
      <c r="AL206">
        <v>0</v>
      </c>
      <c r="AM206">
        <v>0</v>
      </c>
      <c r="AN206" t="s">
        <v>72</v>
      </c>
      <c r="AO206" t="s">
        <v>762</v>
      </c>
      <c r="AP206" t="s">
        <v>386</v>
      </c>
      <c r="AQ206" t="s">
        <v>72</v>
      </c>
      <c r="AR206" t="s">
        <v>72</v>
      </c>
      <c r="AS206" t="s">
        <v>72</v>
      </c>
      <c r="AT206" t="s">
        <v>72</v>
      </c>
      <c r="AU206" t="s">
        <v>72</v>
      </c>
      <c r="AV206" t="s">
        <v>763</v>
      </c>
      <c r="AW206" t="s">
        <v>72</v>
      </c>
      <c r="AX206" t="s">
        <v>764</v>
      </c>
      <c r="AY206">
        <v>21.9120998</v>
      </c>
      <c r="AZ206">
        <v>233</v>
      </c>
      <c r="BA206">
        <v>0</v>
      </c>
      <c r="BB206">
        <v>452.63198849999998</v>
      </c>
      <c r="BC206">
        <v>-0.13204199999999999</v>
      </c>
      <c r="BD206">
        <v>0.18993099999999999</v>
      </c>
      <c r="BE206">
        <v>237.1710052</v>
      </c>
      <c r="BF206">
        <v>6.1208501000000002</v>
      </c>
      <c r="BG206">
        <v>0.50793699999999997</v>
      </c>
      <c r="BH206">
        <v>1.8878599</v>
      </c>
      <c r="BI206">
        <v>0.968059</v>
      </c>
      <c r="BJ206">
        <v>297.1220093</v>
      </c>
      <c r="BK206">
        <v>7</v>
      </c>
      <c r="BL206">
        <v>7.2815098999999996</v>
      </c>
      <c r="BM206">
        <v>982.34399410000003</v>
      </c>
      <c r="BN206">
        <v>5510.0600586</v>
      </c>
      <c r="BO206">
        <v>325.125</v>
      </c>
      <c r="BP206">
        <v>320</v>
      </c>
      <c r="BQ206">
        <v>6</v>
      </c>
      <c r="BR206">
        <v>3</v>
      </c>
    </row>
    <row r="207" spans="1:70" x14ac:dyDescent="0.25">
      <c r="A207">
        <v>204</v>
      </c>
      <c r="B207">
        <v>8776</v>
      </c>
      <c r="C207">
        <v>88.443832999999898</v>
      </c>
      <c r="D207">
        <v>27.0847219999999</v>
      </c>
      <c r="E207" t="s">
        <v>765</v>
      </c>
      <c r="F207">
        <v>2.5</v>
      </c>
      <c r="G207" t="s">
        <v>225</v>
      </c>
      <c r="H207" t="s">
        <v>577</v>
      </c>
      <c r="I207" t="s">
        <v>72</v>
      </c>
      <c r="J207" t="s">
        <v>562</v>
      </c>
      <c r="K207">
        <v>30</v>
      </c>
      <c r="L207">
        <v>350</v>
      </c>
      <c r="M207">
        <v>25</v>
      </c>
      <c r="N207">
        <v>10500</v>
      </c>
      <c r="O207" t="s">
        <v>89</v>
      </c>
      <c r="P207" t="s">
        <v>72</v>
      </c>
      <c r="Q207">
        <v>17500</v>
      </c>
      <c r="R207" t="s">
        <v>72</v>
      </c>
      <c r="S207" t="s">
        <v>563</v>
      </c>
      <c r="T207" t="s">
        <v>564</v>
      </c>
      <c r="U207" t="s">
        <v>90</v>
      </c>
      <c r="V207" t="s">
        <v>72</v>
      </c>
      <c r="W207" t="s">
        <v>76</v>
      </c>
      <c r="X207" t="s">
        <v>119</v>
      </c>
      <c r="Y207">
        <v>0</v>
      </c>
      <c r="Z207" t="s">
        <v>72</v>
      </c>
      <c r="AA207" t="s">
        <v>72</v>
      </c>
      <c r="AB207" t="s">
        <v>72</v>
      </c>
      <c r="AC207" t="s">
        <v>72</v>
      </c>
      <c r="AD207" t="s">
        <v>655</v>
      </c>
      <c r="AE207">
        <v>40</v>
      </c>
      <c r="AF207" t="s">
        <v>79</v>
      </c>
      <c r="AG207" t="s">
        <v>94</v>
      </c>
      <c r="AH207" t="s">
        <v>95</v>
      </c>
      <c r="AI207" t="s">
        <v>121</v>
      </c>
      <c r="AJ207" t="s">
        <v>97</v>
      </c>
      <c r="AK207">
        <v>0</v>
      </c>
      <c r="AL207">
        <v>0</v>
      </c>
      <c r="AM207">
        <v>0</v>
      </c>
      <c r="AN207" t="s">
        <v>192</v>
      </c>
      <c r="AO207" t="s">
        <v>82</v>
      </c>
      <c r="AP207" t="s">
        <v>566</v>
      </c>
      <c r="AQ207" t="s">
        <v>72</v>
      </c>
      <c r="AR207" t="s">
        <v>72</v>
      </c>
      <c r="AS207" t="s">
        <v>72</v>
      </c>
      <c r="AT207" t="s">
        <v>72</v>
      </c>
      <c r="AU207" t="s">
        <v>72</v>
      </c>
      <c r="AV207" t="s">
        <v>567</v>
      </c>
      <c r="AW207" t="s">
        <v>72</v>
      </c>
      <c r="AX207" t="s">
        <v>568</v>
      </c>
      <c r="AY207">
        <v>28.162399300000001</v>
      </c>
      <c r="AZ207">
        <v>75</v>
      </c>
      <c r="BA207">
        <v>-0.64</v>
      </c>
      <c r="BB207">
        <v>470.5409851</v>
      </c>
      <c r="BC207">
        <v>-0.11942800000000001</v>
      </c>
      <c r="BD207">
        <v>0.14672299999999999</v>
      </c>
      <c r="BE207">
        <v>25</v>
      </c>
      <c r="BF207">
        <v>4.9423199000000002</v>
      </c>
      <c r="BG207">
        <v>0.51234599999999997</v>
      </c>
      <c r="BH207">
        <v>0.98667000000000005</v>
      </c>
      <c r="BI207">
        <v>0.86910399999999999</v>
      </c>
      <c r="BJ207">
        <v>12.5</v>
      </c>
      <c r="BK207">
        <v>7</v>
      </c>
      <c r="BL207">
        <v>5.0373501999999997</v>
      </c>
      <c r="BM207">
        <v>1158.1199951000001</v>
      </c>
      <c r="BN207">
        <v>5245.25</v>
      </c>
      <c r="BO207">
        <v>147.1999969</v>
      </c>
      <c r="BP207">
        <v>235</v>
      </c>
      <c r="BQ207">
        <v>6</v>
      </c>
      <c r="BR207">
        <v>7</v>
      </c>
    </row>
    <row r="208" spans="1:70" x14ac:dyDescent="0.25">
      <c r="A208">
        <v>205</v>
      </c>
      <c r="B208">
        <v>10460</v>
      </c>
      <c r="C208">
        <v>88.441666999999896</v>
      </c>
      <c r="D208">
        <v>27.051666999999899</v>
      </c>
      <c r="E208" t="s">
        <v>766</v>
      </c>
      <c r="F208">
        <v>2</v>
      </c>
      <c r="G208" t="s">
        <v>767</v>
      </c>
      <c r="H208" t="s">
        <v>768</v>
      </c>
      <c r="I208" t="s">
        <v>72</v>
      </c>
      <c r="J208" t="s">
        <v>88</v>
      </c>
      <c r="K208">
        <v>30</v>
      </c>
      <c r="L208">
        <v>40</v>
      </c>
      <c r="M208">
        <v>20</v>
      </c>
      <c r="N208">
        <v>1200</v>
      </c>
      <c r="O208" t="s">
        <v>89</v>
      </c>
      <c r="P208" t="s">
        <v>72</v>
      </c>
      <c r="Q208">
        <v>2400</v>
      </c>
      <c r="R208" t="s">
        <v>72</v>
      </c>
      <c r="S208" t="s">
        <v>73</v>
      </c>
      <c r="T208" t="s">
        <v>74</v>
      </c>
      <c r="U208" t="s">
        <v>90</v>
      </c>
      <c r="V208" t="s">
        <v>769</v>
      </c>
      <c r="W208" t="s">
        <v>76</v>
      </c>
      <c r="X208" t="s">
        <v>119</v>
      </c>
      <c r="Y208">
        <v>2010</v>
      </c>
      <c r="Z208" t="s">
        <v>72</v>
      </c>
      <c r="AA208" t="s">
        <v>72</v>
      </c>
      <c r="AB208" t="s">
        <v>72</v>
      </c>
      <c r="AC208" t="s">
        <v>72</v>
      </c>
      <c r="AD208" t="s">
        <v>770</v>
      </c>
      <c r="AE208">
        <v>35</v>
      </c>
      <c r="AF208" t="s">
        <v>186</v>
      </c>
      <c r="AG208" t="s">
        <v>94</v>
      </c>
      <c r="AH208" t="s">
        <v>95</v>
      </c>
      <c r="AI208" t="s">
        <v>80</v>
      </c>
      <c r="AJ208" t="s">
        <v>97</v>
      </c>
      <c r="AK208">
        <v>2016</v>
      </c>
      <c r="AL208">
        <v>0</v>
      </c>
      <c r="AM208">
        <v>0</v>
      </c>
      <c r="AN208" t="s">
        <v>181</v>
      </c>
      <c r="AO208" t="s">
        <v>72</v>
      </c>
      <c r="AP208" t="s">
        <v>448</v>
      </c>
      <c r="AQ208" t="s">
        <v>72</v>
      </c>
      <c r="AR208" t="s">
        <v>72</v>
      </c>
      <c r="AS208" t="s">
        <v>72</v>
      </c>
      <c r="AT208" t="s">
        <v>72</v>
      </c>
      <c r="AU208" t="s">
        <v>72</v>
      </c>
      <c r="AV208" t="s">
        <v>72</v>
      </c>
      <c r="AW208" t="s">
        <v>72</v>
      </c>
      <c r="AX208" t="s">
        <v>72</v>
      </c>
      <c r="AY208">
        <v>34.903900100000001</v>
      </c>
      <c r="AZ208">
        <v>179</v>
      </c>
      <c r="BA208">
        <v>0</v>
      </c>
      <c r="BB208">
        <v>425.06698610000001</v>
      </c>
      <c r="BC208">
        <v>-0.18006800000000001</v>
      </c>
      <c r="BD208">
        <v>0.222021</v>
      </c>
      <c r="BE208">
        <v>178.97300720000001</v>
      </c>
      <c r="BF208">
        <v>4.8315901999999999</v>
      </c>
      <c r="BG208">
        <v>0.47826099999999999</v>
      </c>
      <c r="BH208">
        <v>1.4334100000000001</v>
      </c>
      <c r="BI208">
        <v>0.40961799999999998</v>
      </c>
      <c r="BJ208">
        <v>348.2099915</v>
      </c>
      <c r="BK208">
        <v>4</v>
      </c>
      <c r="BL208">
        <v>0</v>
      </c>
      <c r="BM208">
        <v>1488.1300048999999</v>
      </c>
      <c r="BN208">
        <v>5596.4399414</v>
      </c>
      <c r="BO208">
        <v>242.6999969</v>
      </c>
      <c r="BP208">
        <v>728</v>
      </c>
      <c r="BQ208">
        <v>6</v>
      </c>
      <c r="BR208">
        <v>6</v>
      </c>
    </row>
    <row r="209" spans="1:70" x14ac:dyDescent="0.25">
      <c r="A209">
        <v>206</v>
      </c>
      <c r="B209">
        <v>1073</v>
      </c>
      <c r="C209">
        <v>88.4438999999999</v>
      </c>
      <c r="D209">
        <v>27.0612999999999</v>
      </c>
      <c r="E209" t="s">
        <v>771</v>
      </c>
      <c r="F209">
        <v>0</v>
      </c>
      <c r="G209" t="s">
        <v>772</v>
      </c>
      <c r="H209" t="s">
        <v>773</v>
      </c>
      <c r="I209" t="s">
        <v>72</v>
      </c>
      <c r="J209" t="s">
        <v>774</v>
      </c>
      <c r="K209">
        <v>10</v>
      </c>
      <c r="L209">
        <v>25</v>
      </c>
      <c r="M209">
        <v>10</v>
      </c>
      <c r="N209">
        <v>3750</v>
      </c>
      <c r="O209" t="s">
        <v>775</v>
      </c>
      <c r="P209" t="s">
        <v>72</v>
      </c>
      <c r="Q209">
        <v>0</v>
      </c>
      <c r="R209" t="s">
        <v>72</v>
      </c>
      <c r="S209" t="s">
        <v>73</v>
      </c>
      <c r="T209" t="s">
        <v>74</v>
      </c>
      <c r="U209" t="s">
        <v>776</v>
      </c>
      <c r="V209" t="s">
        <v>777</v>
      </c>
      <c r="W209" t="s">
        <v>76</v>
      </c>
      <c r="X209" t="s">
        <v>77</v>
      </c>
      <c r="Y209">
        <v>2007</v>
      </c>
      <c r="Z209" t="s">
        <v>778</v>
      </c>
      <c r="AA209" t="s">
        <v>779</v>
      </c>
      <c r="AB209" t="s">
        <v>72</v>
      </c>
      <c r="AC209" t="s">
        <v>72</v>
      </c>
      <c r="AD209" t="s">
        <v>780</v>
      </c>
      <c r="AE209">
        <v>0</v>
      </c>
      <c r="AF209" t="s">
        <v>148</v>
      </c>
      <c r="AG209" t="s">
        <v>94</v>
      </c>
      <c r="AH209" t="s">
        <v>72</v>
      </c>
      <c r="AI209" t="s">
        <v>150</v>
      </c>
      <c r="AJ209" t="s">
        <v>97</v>
      </c>
      <c r="AK209">
        <v>0</v>
      </c>
      <c r="AL209">
        <v>0</v>
      </c>
      <c r="AM209">
        <v>0</v>
      </c>
      <c r="AN209" t="s">
        <v>72</v>
      </c>
      <c r="AO209" t="s">
        <v>82</v>
      </c>
      <c r="AP209" t="s">
        <v>781</v>
      </c>
      <c r="AQ209" t="s">
        <v>72</v>
      </c>
      <c r="AR209" t="s">
        <v>72</v>
      </c>
      <c r="AS209" t="s">
        <v>72</v>
      </c>
      <c r="AT209" t="s">
        <v>782</v>
      </c>
      <c r="AU209" t="s">
        <v>72</v>
      </c>
      <c r="AV209" t="s">
        <v>783</v>
      </c>
      <c r="AW209" t="s">
        <v>72</v>
      </c>
      <c r="AX209" t="s">
        <v>784</v>
      </c>
      <c r="AY209">
        <v>27.238599799999999</v>
      </c>
      <c r="AZ209">
        <v>210</v>
      </c>
      <c r="BA209">
        <v>0.64</v>
      </c>
      <c r="BB209">
        <v>382.76300049999998</v>
      </c>
      <c r="BC209">
        <v>-0.188582</v>
      </c>
      <c r="BD209">
        <v>0.23361899999999999</v>
      </c>
      <c r="BE209">
        <v>237.5</v>
      </c>
      <c r="BF209">
        <v>6.0449400000000004</v>
      </c>
      <c r="BG209">
        <v>0.466667</v>
      </c>
      <c r="BH209">
        <v>2.0886399999999998</v>
      </c>
      <c r="BI209">
        <v>0.38272899999999999</v>
      </c>
      <c r="BJ209">
        <v>37.5</v>
      </c>
      <c r="BK209">
        <v>7</v>
      </c>
      <c r="BL209">
        <v>0</v>
      </c>
      <c r="BM209">
        <v>1872.2099608999999</v>
      </c>
      <c r="BN209">
        <v>6120.3798827999999</v>
      </c>
      <c r="BO209">
        <v>262.18499759999997</v>
      </c>
      <c r="BP209">
        <v>716</v>
      </c>
      <c r="BQ209">
        <v>6</v>
      </c>
      <c r="BR209">
        <v>7</v>
      </c>
    </row>
    <row r="210" spans="1:70" x14ac:dyDescent="0.25">
      <c r="A210">
        <v>207</v>
      </c>
      <c r="B210">
        <v>1074</v>
      </c>
      <c r="C210">
        <v>88.444000000000003</v>
      </c>
      <c r="D210">
        <v>27.0612999999999</v>
      </c>
      <c r="E210" t="s">
        <v>785</v>
      </c>
      <c r="F210">
        <v>1</v>
      </c>
      <c r="G210" t="s">
        <v>772</v>
      </c>
      <c r="H210" t="s">
        <v>72</v>
      </c>
      <c r="I210" t="s">
        <v>72</v>
      </c>
      <c r="J210" t="s">
        <v>774</v>
      </c>
      <c r="K210">
        <v>1</v>
      </c>
      <c r="L210">
        <v>2</v>
      </c>
      <c r="M210">
        <v>1</v>
      </c>
      <c r="N210">
        <v>60</v>
      </c>
      <c r="O210" t="s">
        <v>775</v>
      </c>
      <c r="P210" t="s">
        <v>72</v>
      </c>
      <c r="Q210">
        <v>60</v>
      </c>
      <c r="R210" t="s">
        <v>72</v>
      </c>
      <c r="S210" t="s">
        <v>73</v>
      </c>
      <c r="T210" t="s">
        <v>74</v>
      </c>
      <c r="U210" t="s">
        <v>776</v>
      </c>
      <c r="V210" t="s">
        <v>786</v>
      </c>
      <c r="W210" t="s">
        <v>76</v>
      </c>
      <c r="X210" t="s">
        <v>77</v>
      </c>
      <c r="Y210">
        <v>2007</v>
      </c>
      <c r="Z210" t="s">
        <v>787</v>
      </c>
      <c r="AA210" t="s">
        <v>788</v>
      </c>
      <c r="AB210" t="s">
        <v>72</v>
      </c>
      <c r="AC210" t="s">
        <v>72</v>
      </c>
      <c r="AD210" t="s">
        <v>789</v>
      </c>
      <c r="AE210">
        <v>0</v>
      </c>
      <c r="AF210" t="s">
        <v>79</v>
      </c>
      <c r="AG210" t="s">
        <v>128</v>
      </c>
      <c r="AH210" t="s">
        <v>72</v>
      </c>
      <c r="AI210" t="s">
        <v>150</v>
      </c>
      <c r="AJ210" t="s">
        <v>113</v>
      </c>
      <c r="AK210">
        <v>0</v>
      </c>
      <c r="AL210">
        <v>0</v>
      </c>
      <c r="AM210">
        <v>0</v>
      </c>
      <c r="AN210" t="s">
        <v>72</v>
      </c>
      <c r="AO210" t="s">
        <v>193</v>
      </c>
      <c r="AP210" t="s">
        <v>781</v>
      </c>
      <c r="AQ210" t="s">
        <v>72</v>
      </c>
      <c r="AR210" t="s">
        <v>72</v>
      </c>
      <c r="AS210" t="s">
        <v>72</v>
      </c>
      <c r="AT210" t="s">
        <v>790</v>
      </c>
      <c r="AU210" t="s">
        <v>72</v>
      </c>
      <c r="AV210" t="s">
        <v>791</v>
      </c>
      <c r="AW210" t="s">
        <v>72</v>
      </c>
      <c r="AX210" t="s">
        <v>792</v>
      </c>
      <c r="AY210">
        <v>27.902500199999999</v>
      </c>
      <c r="AZ210">
        <v>206</v>
      </c>
      <c r="BA210">
        <v>-1.28</v>
      </c>
      <c r="BB210">
        <v>382.76300049999998</v>
      </c>
      <c r="BC210">
        <v>-0.188582</v>
      </c>
      <c r="BD210">
        <v>0.23361899999999999</v>
      </c>
      <c r="BE210">
        <v>237.5</v>
      </c>
      <c r="BF210">
        <v>6.0449400000000004</v>
      </c>
      <c r="BG210">
        <v>0.49629699999999999</v>
      </c>
      <c r="BH210">
        <v>2.0886399999999998</v>
      </c>
      <c r="BI210">
        <v>0.38272899999999999</v>
      </c>
      <c r="BJ210">
        <v>37.5</v>
      </c>
      <c r="BK210">
        <v>7</v>
      </c>
      <c r="BL210">
        <v>0</v>
      </c>
      <c r="BM210">
        <v>1872.2099608999999</v>
      </c>
      <c r="BN210">
        <v>6120.3798827999999</v>
      </c>
      <c r="BO210">
        <v>259.11401369999999</v>
      </c>
      <c r="BP210">
        <v>722</v>
      </c>
      <c r="BQ210">
        <v>6</v>
      </c>
      <c r="BR210">
        <v>7</v>
      </c>
    </row>
    <row r="211" spans="1:70" x14ac:dyDescent="0.25">
      <c r="A211">
        <v>208</v>
      </c>
      <c r="B211">
        <v>8775</v>
      </c>
      <c r="C211">
        <v>88.446083000000002</v>
      </c>
      <c r="D211">
        <v>27.084222</v>
      </c>
      <c r="E211" t="s">
        <v>793</v>
      </c>
      <c r="F211">
        <v>2.5</v>
      </c>
      <c r="G211" t="s">
        <v>580</v>
      </c>
      <c r="H211" t="s">
        <v>581</v>
      </c>
      <c r="I211" t="s">
        <v>72</v>
      </c>
      <c r="J211" t="s">
        <v>562</v>
      </c>
      <c r="K211">
        <v>30</v>
      </c>
      <c r="L211">
        <v>150</v>
      </c>
      <c r="M211">
        <v>25</v>
      </c>
      <c r="N211">
        <v>4500</v>
      </c>
      <c r="O211" t="s">
        <v>89</v>
      </c>
      <c r="P211" t="s">
        <v>72</v>
      </c>
      <c r="Q211">
        <v>7500</v>
      </c>
      <c r="R211" t="s">
        <v>72</v>
      </c>
      <c r="S211" t="s">
        <v>563</v>
      </c>
      <c r="T211" t="s">
        <v>564</v>
      </c>
      <c r="U211" t="s">
        <v>90</v>
      </c>
      <c r="V211" t="s">
        <v>72</v>
      </c>
      <c r="W211" t="s">
        <v>76</v>
      </c>
      <c r="X211" t="s">
        <v>119</v>
      </c>
      <c r="Y211">
        <v>0</v>
      </c>
      <c r="Z211" t="s">
        <v>72</v>
      </c>
      <c r="AA211" t="s">
        <v>72</v>
      </c>
      <c r="AB211" t="s">
        <v>72</v>
      </c>
      <c r="AC211" t="s">
        <v>72</v>
      </c>
      <c r="AD211" t="s">
        <v>655</v>
      </c>
      <c r="AE211">
        <v>30</v>
      </c>
      <c r="AF211" t="s">
        <v>79</v>
      </c>
      <c r="AG211" t="s">
        <v>94</v>
      </c>
      <c r="AH211" t="s">
        <v>95</v>
      </c>
      <c r="AI211" t="s">
        <v>150</v>
      </c>
      <c r="AJ211" t="s">
        <v>97</v>
      </c>
      <c r="AK211">
        <v>0</v>
      </c>
      <c r="AL211">
        <v>0</v>
      </c>
      <c r="AM211">
        <v>0</v>
      </c>
      <c r="AN211" t="s">
        <v>233</v>
      </c>
      <c r="AO211" t="s">
        <v>82</v>
      </c>
      <c r="AP211" t="s">
        <v>566</v>
      </c>
      <c r="AQ211" t="s">
        <v>72</v>
      </c>
      <c r="AR211" t="s">
        <v>72</v>
      </c>
      <c r="AS211" t="s">
        <v>72</v>
      </c>
      <c r="AT211" t="s">
        <v>72</v>
      </c>
      <c r="AU211" t="s">
        <v>72</v>
      </c>
      <c r="AV211" t="s">
        <v>567</v>
      </c>
      <c r="AW211" t="s">
        <v>72</v>
      </c>
      <c r="AX211" t="s">
        <v>568</v>
      </c>
      <c r="AY211">
        <v>41.114799499999997</v>
      </c>
      <c r="AZ211">
        <v>45</v>
      </c>
      <c r="BA211">
        <v>0</v>
      </c>
      <c r="BB211">
        <v>498.4530029</v>
      </c>
      <c r="BC211">
        <v>-0.141683</v>
      </c>
      <c r="BD211">
        <v>0.180478</v>
      </c>
      <c r="BE211">
        <v>17.677700000000002</v>
      </c>
      <c r="BF211">
        <v>5.7404900000000003</v>
      </c>
      <c r="BG211">
        <v>0.51690800000000003</v>
      </c>
      <c r="BH211">
        <v>2.9219799000000002</v>
      </c>
      <c r="BI211">
        <v>0.83359499999999997</v>
      </c>
      <c r="BJ211">
        <v>112.5</v>
      </c>
      <c r="BK211">
        <v>7</v>
      </c>
      <c r="BL211">
        <v>2.2658100000000001</v>
      </c>
      <c r="BM211">
        <v>1368.6199951000001</v>
      </c>
      <c r="BN211">
        <v>5029.3701172000001</v>
      </c>
      <c r="BO211">
        <v>175.3999939</v>
      </c>
      <c r="BP211">
        <v>239</v>
      </c>
      <c r="BQ211">
        <v>6</v>
      </c>
      <c r="BR211">
        <v>7</v>
      </c>
    </row>
    <row r="212" spans="1:70" x14ac:dyDescent="0.25">
      <c r="A212">
        <v>209</v>
      </c>
      <c r="B212">
        <v>229</v>
      </c>
      <c r="C212">
        <v>88.445999999999898</v>
      </c>
      <c r="D212">
        <v>27.082000000000001</v>
      </c>
      <c r="E212" t="s">
        <v>794</v>
      </c>
      <c r="F212">
        <v>1.5</v>
      </c>
      <c r="G212" t="s">
        <v>72</v>
      </c>
      <c r="H212" t="s">
        <v>72</v>
      </c>
      <c r="I212" t="s">
        <v>72</v>
      </c>
      <c r="J212" t="s">
        <v>72</v>
      </c>
      <c r="K212">
        <v>25</v>
      </c>
      <c r="L212">
        <v>15</v>
      </c>
      <c r="M212">
        <v>25</v>
      </c>
      <c r="N212">
        <v>0</v>
      </c>
      <c r="O212" t="s">
        <v>105</v>
      </c>
      <c r="P212" t="s">
        <v>72</v>
      </c>
      <c r="Q212">
        <v>0</v>
      </c>
      <c r="R212" t="s">
        <v>72</v>
      </c>
      <c r="S212" t="s">
        <v>73</v>
      </c>
      <c r="T212" t="s">
        <v>74</v>
      </c>
      <c r="U212" t="s">
        <v>90</v>
      </c>
      <c r="V212" t="s">
        <v>72</v>
      </c>
      <c r="W212" t="s">
        <v>76</v>
      </c>
      <c r="X212" t="s">
        <v>77</v>
      </c>
      <c r="Y212">
        <v>0</v>
      </c>
      <c r="Z212" t="s">
        <v>72</v>
      </c>
      <c r="AA212" t="s">
        <v>72</v>
      </c>
      <c r="AB212" t="s">
        <v>72</v>
      </c>
      <c r="AC212" t="s">
        <v>72</v>
      </c>
      <c r="AD212" t="s">
        <v>93</v>
      </c>
      <c r="AE212">
        <v>0</v>
      </c>
      <c r="AF212" t="s">
        <v>79</v>
      </c>
      <c r="AG212" t="s">
        <v>94</v>
      </c>
      <c r="AH212" t="s">
        <v>72</v>
      </c>
      <c r="AI212" t="s">
        <v>96</v>
      </c>
      <c r="AJ212" t="s">
        <v>72</v>
      </c>
      <c r="AK212">
        <v>0</v>
      </c>
      <c r="AL212">
        <v>0</v>
      </c>
      <c r="AM212">
        <v>0</v>
      </c>
      <c r="AN212" t="s">
        <v>72</v>
      </c>
      <c r="AO212" t="s">
        <v>124</v>
      </c>
      <c r="AP212" t="s">
        <v>72</v>
      </c>
      <c r="AQ212" t="s">
        <v>72</v>
      </c>
      <c r="AR212" t="s">
        <v>72</v>
      </c>
      <c r="AS212" t="s">
        <v>72</v>
      </c>
      <c r="AT212" t="s">
        <v>72</v>
      </c>
      <c r="AU212" t="s">
        <v>72</v>
      </c>
      <c r="AV212" t="s">
        <v>72</v>
      </c>
      <c r="AW212" t="s">
        <v>72</v>
      </c>
      <c r="AX212" t="s">
        <v>72</v>
      </c>
      <c r="AY212">
        <v>34.227199599999999</v>
      </c>
      <c r="AZ212">
        <v>222</v>
      </c>
      <c r="BA212">
        <v>-1.28</v>
      </c>
      <c r="BB212">
        <v>502.64300539999999</v>
      </c>
      <c r="BC212">
        <v>-0.12200800000000001</v>
      </c>
      <c r="BD212">
        <v>0.17793</v>
      </c>
      <c r="BE212">
        <v>25</v>
      </c>
      <c r="BF212">
        <v>6.4944800999999996</v>
      </c>
      <c r="BG212">
        <v>0.51234599999999997</v>
      </c>
      <c r="BH212">
        <v>3.1716199</v>
      </c>
      <c r="BI212">
        <v>0.848136</v>
      </c>
      <c r="BJ212">
        <v>125</v>
      </c>
      <c r="BK212">
        <v>7</v>
      </c>
      <c r="BL212">
        <v>2.3656799999999998</v>
      </c>
      <c r="BM212">
        <v>1337.7299805</v>
      </c>
      <c r="BN212">
        <v>5084.3198241999999</v>
      </c>
      <c r="BO212">
        <v>358.31500240000003</v>
      </c>
      <c r="BP212">
        <v>222</v>
      </c>
      <c r="BQ212">
        <v>6</v>
      </c>
      <c r="BR212">
        <v>3</v>
      </c>
    </row>
    <row r="213" spans="1:70" x14ac:dyDescent="0.25">
      <c r="A213">
        <v>210</v>
      </c>
      <c r="B213">
        <v>10279</v>
      </c>
      <c r="C213">
        <v>88.446027999999899</v>
      </c>
      <c r="D213">
        <v>27.082249999999899</v>
      </c>
      <c r="E213" t="s">
        <v>795</v>
      </c>
      <c r="F213">
        <v>1</v>
      </c>
      <c r="G213" t="s">
        <v>102</v>
      </c>
      <c r="H213" t="s">
        <v>72</v>
      </c>
      <c r="I213" t="s">
        <v>72</v>
      </c>
      <c r="J213" t="s">
        <v>88</v>
      </c>
      <c r="K213">
        <v>15</v>
      </c>
      <c r="L213">
        <v>8</v>
      </c>
      <c r="M213">
        <v>10</v>
      </c>
      <c r="N213">
        <v>120</v>
      </c>
      <c r="O213" t="s">
        <v>89</v>
      </c>
      <c r="P213" t="s">
        <v>72</v>
      </c>
      <c r="Q213">
        <v>120</v>
      </c>
      <c r="R213" t="s">
        <v>72</v>
      </c>
      <c r="S213" t="s">
        <v>73</v>
      </c>
      <c r="T213" t="s">
        <v>74</v>
      </c>
      <c r="U213" t="s">
        <v>90</v>
      </c>
      <c r="V213" t="s">
        <v>702</v>
      </c>
      <c r="W213" t="s">
        <v>76</v>
      </c>
      <c r="X213" t="s">
        <v>77</v>
      </c>
      <c r="Y213">
        <v>2014</v>
      </c>
      <c r="Z213" t="s">
        <v>72</v>
      </c>
      <c r="AA213" t="s">
        <v>72</v>
      </c>
      <c r="AB213" t="s">
        <v>72</v>
      </c>
      <c r="AC213" t="s">
        <v>72</v>
      </c>
      <c r="AD213" t="s">
        <v>703</v>
      </c>
      <c r="AE213">
        <v>1</v>
      </c>
      <c r="AF213" t="s">
        <v>79</v>
      </c>
      <c r="AG213" t="s">
        <v>94</v>
      </c>
      <c r="AH213" t="s">
        <v>95</v>
      </c>
      <c r="AI213" t="s">
        <v>96</v>
      </c>
      <c r="AJ213" t="s">
        <v>97</v>
      </c>
      <c r="AK213">
        <v>0</v>
      </c>
      <c r="AL213">
        <v>0</v>
      </c>
      <c r="AM213">
        <v>0</v>
      </c>
      <c r="AN213" t="s">
        <v>98</v>
      </c>
      <c r="AO213" t="s">
        <v>82</v>
      </c>
      <c r="AP213" t="s">
        <v>99</v>
      </c>
      <c r="AQ213" t="s">
        <v>72</v>
      </c>
      <c r="AR213" t="s">
        <v>72</v>
      </c>
      <c r="AS213" t="s">
        <v>72</v>
      </c>
      <c r="AT213" t="s">
        <v>72</v>
      </c>
      <c r="AU213" t="s">
        <v>72</v>
      </c>
      <c r="AV213" t="s">
        <v>72</v>
      </c>
      <c r="AW213" t="s">
        <v>72</v>
      </c>
      <c r="AX213" t="s">
        <v>110</v>
      </c>
      <c r="AY213">
        <v>40.157699600000001</v>
      </c>
      <c r="AZ213">
        <v>211</v>
      </c>
      <c r="BA213">
        <v>1.28</v>
      </c>
      <c r="BB213">
        <v>502.64300539999999</v>
      </c>
      <c r="BC213">
        <v>-0.108026</v>
      </c>
      <c r="BD213">
        <v>0.15301600000000001</v>
      </c>
      <c r="BE213">
        <v>0</v>
      </c>
      <c r="BF213">
        <v>6.3331499000000004</v>
      </c>
      <c r="BG213">
        <v>0.51515100000000003</v>
      </c>
      <c r="BH213">
        <v>3.4422901000000001</v>
      </c>
      <c r="BI213">
        <v>0.84628499999999995</v>
      </c>
      <c r="BJ213">
        <v>100</v>
      </c>
      <c r="BK213">
        <v>7</v>
      </c>
      <c r="BL213">
        <v>2.3656799999999998</v>
      </c>
      <c r="BM213">
        <v>1337.5</v>
      </c>
      <c r="BN213">
        <v>5079.5200194999998</v>
      </c>
      <c r="BO213">
        <v>5.4403300000000003</v>
      </c>
      <c r="BP213">
        <v>204</v>
      </c>
      <c r="BQ213">
        <v>6</v>
      </c>
      <c r="BR213">
        <v>3</v>
      </c>
    </row>
    <row r="214" spans="1:70" x14ac:dyDescent="0.25">
      <c r="A214">
        <v>211</v>
      </c>
      <c r="B214">
        <v>10838</v>
      </c>
      <c r="C214">
        <v>88.446456999999896</v>
      </c>
      <c r="D214">
        <v>27.0808719999999</v>
      </c>
      <c r="E214" t="s">
        <v>796</v>
      </c>
      <c r="F214">
        <v>2</v>
      </c>
      <c r="G214" t="s">
        <v>102</v>
      </c>
      <c r="H214" t="s">
        <v>72</v>
      </c>
      <c r="I214" t="s">
        <v>72</v>
      </c>
      <c r="J214" t="s">
        <v>88</v>
      </c>
      <c r="K214">
        <v>30</v>
      </c>
      <c r="L214">
        <v>15</v>
      </c>
      <c r="M214">
        <v>25</v>
      </c>
      <c r="N214">
        <v>450</v>
      </c>
      <c r="O214" t="s">
        <v>89</v>
      </c>
      <c r="P214" t="s">
        <v>72</v>
      </c>
      <c r="Q214">
        <v>900</v>
      </c>
      <c r="R214" t="s">
        <v>72</v>
      </c>
      <c r="S214" t="s">
        <v>73</v>
      </c>
      <c r="T214" t="s">
        <v>74</v>
      </c>
      <c r="U214" t="s">
        <v>90</v>
      </c>
      <c r="V214" t="s">
        <v>748</v>
      </c>
      <c r="W214" t="s">
        <v>76</v>
      </c>
      <c r="X214" t="s">
        <v>77</v>
      </c>
      <c r="Y214">
        <v>2011</v>
      </c>
      <c r="Z214" t="s">
        <v>72</v>
      </c>
      <c r="AA214" t="s">
        <v>72</v>
      </c>
      <c r="AB214" t="s">
        <v>72</v>
      </c>
      <c r="AC214" t="s">
        <v>72</v>
      </c>
      <c r="AD214" t="s">
        <v>93</v>
      </c>
      <c r="AE214">
        <v>0</v>
      </c>
      <c r="AF214" t="s">
        <v>79</v>
      </c>
      <c r="AG214" t="s">
        <v>94</v>
      </c>
      <c r="AH214" t="s">
        <v>95</v>
      </c>
      <c r="AI214" t="s">
        <v>96</v>
      </c>
      <c r="AJ214" t="s">
        <v>97</v>
      </c>
      <c r="AK214">
        <v>0</v>
      </c>
      <c r="AL214">
        <v>0</v>
      </c>
      <c r="AM214">
        <v>0</v>
      </c>
      <c r="AN214" t="s">
        <v>98</v>
      </c>
      <c r="AO214" t="s">
        <v>82</v>
      </c>
      <c r="AP214" t="s">
        <v>99</v>
      </c>
      <c r="AQ214" t="s">
        <v>72</v>
      </c>
      <c r="AR214" t="s">
        <v>72</v>
      </c>
      <c r="AS214" t="s">
        <v>72</v>
      </c>
      <c r="AT214" t="s">
        <v>72</v>
      </c>
      <c r="AU214" t="s">
        <v>72</v>
      </c>
      <c r="AV214" t="s">
        <v>72</v>
      </c>
      <c r="AW214" t="s">
        <v>72</v>
      </c>
      <c r="AX214" t="s">
        <v>103</v>
      </c>
      <c r="AY214">
        <v>40.082199099999997</v>
      </c>
      <c r="AZ214">
        <v>243</v>
      </c>
      <c r="BA214">
        <v>-1.92</v>
      </c>
      <c r="BB214">
        <v>505.02099609999999</v>
      </c>
      <c r="BC214">
        <v>-0.116845</v>
      </c>
      <c r="BD214">
        <v>0.17574500000000001</v>
      </c>
      <c r="BE214">
        <v>134.62899780000001</v>
      </c>
      <c r="BF214">
        <v>5.0961398999999998</v>
      </c>
      <c r="BG214">
        <v>0.47736600000000001</v>
      </c>
      <c r="BH214">
        <v>2.1313601000000002</v>
      </c>
      <c r="BI214">
        <v>0.85620099999999999</v>
      </c>
      <c r="BJ214">
        <v>250</v>
      </c>
      <c r="BK214">
        <v>7</v>
      </c>
      <c r="BL214">
        <v>2.1460099000000001</v>
      </c>
      <c r="BM214">
        <v>1395.5799560999999</v>
      </c>
      <c r="BN214">
        <v>5061.2797852000003</v>
      </c>
      <c r="BO214">
        <v>339.84201050000001</v>
      </c>
      <c r="BP214">
        <v>291</v>
      </c>
      <c r="BQ214">
        <v>6</v>
      </c>
      <c r="BR214">
        <v>3</v>
      </c>
    </row>
    <row r="215" spans="1:70" x14ac:dyDescent="0.25">
      <c r="A215">
        <v>212</v>
      </c>
      <c r="B215">
        <v>10449</v>
      </c>
      <c r="C215">
        <v>88.4465509999999</v>
      </c>
      <c r="D215">
        <v>27.051057</v>
      </c>
      <c r="E215" t="s">
        <v>797</v>
      </c>
      <c r="F215">
        <v>1</v>
      </c>
      <c r="G215" t="s">
        <v>130</v>
      </c>
      <c r="H215" t="s">
        <v>72</v>
      </c>
      <c r="I215" t="s">
        <v>72</v>
      </c>
      <c r="J215" t="s">
        <v>88</v>
      </c>
      <c r="K215">
        <v>50</v>
      </c>
      <c r="L215">
        <v>80</v>
      </c>
      <c r="M215">
        <v>70</v>
      </c>
      <c r="N215">
        <v>4000</v>
      </c>
      <c r="O215" t="s">
        <v>89</v>
      </c>
      <c r="P215" t="s">
        <v>72</v>
      </c>
      <c r="Q215">
        <v>4000</v>
      </c>
      <c r="R215" t="s">
        <v>72</v>
      </c>
      <c r="S215" t="s">
        <v>73</v>
      </c>
      <c r="T215" t="s">
        <v>74</v>
      </c>
      <c r="U215" t="s">
        <v>90</v>
      </c>
      <c r="V215" t="s">
        <v>72</v>
      </c>
      <c r="W215" t="s">
        <v>76</v>
      </c>
      <c r="X215" t="s">
        <v>77</v>
      </c>
      <c r="Y215">
        <v>2013</v>
      </c>
      <c r="Z215" t="s">
        <v>72</v>
      </c>
      <c r="AA215" t="s">
        <v>72</v>
      </c>
      <c r="AB215" t="s">
        <v>72</v>
      </c>
      <c r="AC215" t="s">
        <v>72</v>
      </c>
      <c r="AD215" t="s">
        <v>72</v>
      </c>
      <c r="AE215">
        <v>0</v>
      </c>
      <c r="AF215" t="s">
        <v>79</v>
      </c>
      <c r="AG215" t="s">
        <v>94</v>
      </c>
      <c r="AH215" t="s">
        <v>95</v>
      </c>
      <c r="AI215" t="s">
        <v>96</v>
      </c>
      <c r="AJ215" t="s">
        <v>113</v>
      </c>
      <c r="AK215">
        <v>0</v>
      </c>
      <c r="AL215">
        <v>0</v>
      </c>
      <c r="AM215">
        <v>0</v>
      </c>
      <c r="AN215" t="s">
        <v>181</v>
      </c>
      <c r="AO215" t="s">
        <v>82</v>
      </c>
      <c r="AP215" t="s">
        <v>448</v>
      </c>
      <c r="AQ215" t="s">
        <v>72</v>
      </c>
      <c r="AR215" t="s">
        <v>72</v>
      </c>
      <c r="AS215" t="s">
        <v>72</v>
      </c>
      <c r="AT215" t="s">
        <v>72</v>
      </c>
      <c r="AU215" t="s">
        <v>72</v>
      </c>
      <c r="AV215" t="s">
        <v>72</v>
      </c>
      <c r="AW215" t="s">
        <v>72</v>
      </c>
      <c r="AX215" t="s">
        <v>72</v>
      </c>
      <c r="AY215">
        <v>20.2430992</v>
      </c>
      <c r="AZ215">
        <v>221</v>
      </c>
      <c r="BA215">
        <v>-0.64</v>
      </c>
      <c r="BB215">
        <v>393.6530151</v>
      </c>
      <c r="BC215">
        <v>-0.17468700000000001</v>
      </c>
      <c r="BD215">
        <v>0.218394</v>
      </c>
      <c r="BE215">
        <v>568.16601560000004</v>
      </c>
      <c r="BF215">
        <v>8.7543898000000002</v>
      </c>
      <c r="BG215">
        <v>0.55555299999999996</v>
      </c>
      <c r="BH215">
        <v>4.2309098000000001</v>
      </c>
      <c r="BI215">
        <v>0.197024</v>
      </c>
      <c r="BJ215">
        <v>833.85400389999995</v>
      </c>
      <c r="BK215">
        <v>7</v>
      </c>
      <c r="BL215">
        <v>0</v>
      </c>
      <c r="BM215">
        <v>1958.7099608999999</v>
      </c>
      <c r="BN215">
        <v>5280.0498047000001</v>
      </c>
      <c r="BO215">
        <v>282.52899170000001</v>
      </c>
      <c r="BP215">
        <v>892</v>
      </c>
      <c r="BQ215">
        <v>6</v>
      </c>
      <c r="BR215">
        <v>7</v>
      </c>
    </row>
    <row r="216" spans="1:70" x14ac:dyDescent="0.25">
      <c r="A216">
        <v>213</v>
      </c>
      <c r="B216">
        <v>10278</v>
      </c>
      <c r="C216">
        <v>88.449639000000005</v>
      </c>
      <c r="D216">
        <v>27.082833000000001</v>
      </c>
      <c r="E216" t="s">
        <v>798</v>
      </c>
      <c r="F216">
        <v>1</v>
      </c>
      <c r="G216" t="s">
        <v>130</v>
      </c>
      <c r="H216" t="s">
        <v>72</v>
      </c>
      <c r="I216" t="s">
        <v>72</v>
      </c>
      <c r="J216" t="s">
        <v>88</v>
      </c>
      <c r="K216">
        <v>30</v>
      </c>
      <c r="L216">
        <v>12</v>
      </c>
      <c r="M216">
        <v>20</v>
      </c>
      <c r="N216">
        <v>360</v>
      </c>
      <c r="O216" t="s">
        <v>89</v>
      </c>
      <c r="P216" t="s">
        <v>72</v>
      </c>
      <c r="Q216">
        <v>360</v>
      </c>
      <c r="R216" t="s">
        <v>72</v>
      </c>
      <c r="S216" t="s">
        <v>73</v>
      </c>
      <c r="T216" t="s">
        <v>74</v>
      </c>
      <c r="U216" t="s">
        <v>90</v>
      </c>
      <c r="V216" t="s">
        <v>799</v>
      </c>
      <c r="W216" t="s">
        <v>76</v>
      </c>
      <c r="X216" t="s">
        <v>77</v>
      </c>
      <c r="Y216">
        <v>2014</v>
      </c>
      <c r="Z216" t="s">
        <v>72</v>
      </c>
      <c r="AA216" t="s">
        <v>72</v>
      </c>
      <c r="AB216" t="s">
        <v>72</v>
      </c>
      <c r="AC216" t="s">
        <v>72</v>
      </c>
      <c r="AD216" t="s">
        <v>703</v>
      </c>
      <c r="AE216">
        <v>1</v>
      </c>
      <c r="AF216" t="s">
        <v>79</v>
      </c>
      <c r="AG216" t="s">
        <v>94</v>
      </c>
      <c r="AH216" t="s">
        <v>95</v>
      </c>
      <c r="AI216" t="s">
        <v>96</v>
      </c>
      <c r="AJ216" t="s">
        <v>97</v>
      </c>
      <c r="AK216">
        <v>0</v>
      </c>
      <c r="AL216">
        <v>0</v>
      </c>
      <c r="AM216">
        <v>0</v>
      </c>
      <c r="AN216" t="s">
        <v>98</v>
      </c>
      <c r="AO216" t="s">
        <v>82</v>
      </c>
      <c r="AP216" t="s">
        <v>99</v>
      </c>
      <c r="AQ216" t="s">
        <v>72</v>
      </c>
      <c r="AR216" t="s">
        <v>72</v>
      </c>
      <c r="AS216" t="s">
        <v>72</v>
      </c>
      <c r="AT216" t="s">
        <v>72</v>
      </c>
      <c r="AU216" t="s">
        <v>72</v>
      </c>
      <c r="AV216" t="s">
        <v>72</v>
      </c>
      <c r="AW216" t="s">
        <v>72</v>
      </c>
      <c r="AX216" t="s">
        <v>103</v>
      </c>
      <c r="AY216">
        <v>33.230201700000002</v>
      </c>
      <c r="AZ216">
        <v>246</v>
      </c>
      <c r="BA216">
        <v>-0.64</v>
      </c>
      <c r="BB216">
        <v>527.50097659999994</v>
      </c>
      <c r="BC216">
        <v>-9.3990199999999996E-2</v>
      </c>
      <c r="BD216">
        <v>0.150397</v>
      </c>
      <c r="BE216">
        <v>0</v>
      </c>
      <c r="BF216">
        <v>5.9931698000000004</v>
      </c>
      <c r="BG216">
        <v>0.49494899999999997</v>
      </c>
      <c r="BH216">
        <v>2.5743898999999999</v>
      </c>
      <c r="BI216">
        <v>0.89487399999999995</v>
      </c>
      <c r="BJ216">
        <v>103.0780029</v>
      </c>
      <c r="BK216">
        <v>7</v>
      </c>
      <c r="BL216">
        <v>0</v>
      </c>
      <c r="BM216">
        <v>1701.6500243999999</v>
      </c>
      <c r="BN216">
        <v>4709.3798827999999</v>
      </c>
      <c r="BO216">
        <v>328.73599239999999</v>
      </c>
      <c r="BP216">
        <v>199</v>
      </c>
      <c r="BQ216">
        <v>6</v>
      </c>
      <c r="BR216">
        <v>3</v>
      </c>
    </row>
    <row r="217" spans="1:70" x14ac:dyDescent="0.25">
      <c r="A217">
        <v>214</v>
      </c>
      <c r="B217">
        <v>11464</v>
      </c>
      <c r="C217">
        <v>88.451458000000002</v>
      </c>
      <c r="D217">
        <v>27.0810409999999</v>
      </c>
      <c r="E217" t="s">
        <v>800</v>
      </c>
      <c r="F217">
        <v>1</v>
      </c>
      <c r="G217" t="s">
        <v>130</v>
      </c>
      <c r="H217" t="s">
        <v>72</v>
      </c>
      <c r="I217" t="s">
        <v>72</v>
      </c>
      <c r="J217" t="s">
        <v>88</v>
      </c>
      <c r="K217">
        <v>30</v>
      </c>
      <c r="L217">
        <v>27</v>
      </c>
      <c r="M217">
        <v>20</v>
      </c>
      <c r="N217">
        <v>810</v>
      </c>
      <c r="O217" t="s">
        <v>89</v>
      </c>
      <c r="P217" t="s">
        <v>72</v>
      </c>
      <c r="Q217">
        <v>810</v>
      </c>
      <c r="R217" t="s">
        <v>72</v>
      </c>
      <c r="S217" t="s">
        <v>73</v>
      </c>
      <c r="T217" t="s">
        <v>74</v>
      </c>
      <c r="U217" t="s">
        <v>90</v>
      </c>
      <c r="V217" t="s">
        <v>801</v>
      </c>
      <c r="W217" t="s">
        <v>76</v>
      </c>
      <c r="X217" t="s">
        <v>77</v>
      </c>
      <c r="Y217">
        <v>2007</v>
      </c>
      <c r="Z217" t="s">
        <v>72</v>
      </c>
      <c r="AA217" t="s">
        <v>72</v>
      </c>
      <c r="AB217" t="s">
        <v>72</v>
      </c>
      <c r="AC217" t="s">
        <v>72</v>
      </c>
      <c r="AD217" t="s">
        <v>802</v>
      </c>
      <c r="AE217">
        <v>0</v>
      </c>
      <c r="AF217" t="s">
        <v>79</v>
      </c>
      <c r="AG217" t="s">
        <v>133</v>
      </c>
      <c r="AH217" t="s">
        <v>95</v>
      </c>
      <c r="AI217" t="s">
        <v>96</v>
      </c>
      <c r="AJ217" t="s">
        <v>97</v>
      </c>
      <c r="AK217">
        <v>0</v>
      </c>
      <c r="AL217">
        <v>0</v>
      </c>
      <c r="AM217">
        <v>0</v>
      </c>
      <c r="AN217" t="s">
        <v>98</v>
      </c>
      <c r="AO217" t="s">
        <v>72</v>
      </c>
      <c r="AP217" t="s">
        <v>99</v>
      </c>
      <c r="AQ217" t="s">
        <v>72</v>
      </c>
      <c r="AR217" t="s">
        <v>72</v>
      </c>
      <c r="AS217" t="s">
        <v>72</v>
      </c>
      <c r="AT217" t="s">
        <v>72</v>
      </c>
      <c r="AU217" t="s">
        <v>72</v>
      </c>
      <c r="AV217" t="s">
        <v>72</v>
      </c>
      <c r="AW217" t="s">
        <v>72</v>
      </c>
      <c r="AX217" t="s">
        <v>72</v>
      </c>
      <c r="AY217">
        <v>32.129299199999998</v>
      </c>
      <c r="AZ217">
        <v>247</v>
      </c>
      <c r="BA217">
        <v>-0.64</v>
      </c>
      <c r="BB217">
        <v>530.32501219999995</v>
      </c>
      <c r="BC217">
        <v>-0.13683600000000001</v>
      </c>
      <c r="BD217">
        <v>0.194332</v>
      </c>
      <c r="BE217">
        <v>240.44200129999999</v>
      </c>
      <c r="BF217">
        <v>4.0895400000000004</v>
      </c>
      <c r="BG217">
        <v>0.52910100000000004</v>
      </c>
      <c r="BH217">
        <v>0.230043</v>
      </c>
      <c r="BI217">
        <v>0.87204199999999998</v>
      </c>
      <c r="BJ217">
        <v>360.55499270000001</v>
      </c>
      <c r="BK217">
        <v>7</v>
      </c>
      <c r="BL217">
        <v>0</v>
      </c>
      <c r="BM217">
        <v>1879.1600341999999</v>
      </c>
      <c r="BN217">
        <v>4580.9599608999997</v>
      </c>
      <c r="BO217">
        <v>322.76501459999997</v>
      </c>
      <c r="BP217">
        <v>370</v>
      </c>
      <c r="BQ217">
        <v>6</v>
      </c>
      <c r="BR217">
        <v>3</v>
      </c>
    </row>
    <row r="218" spans="1:70" x14ac:dyDescent="0.25">
      <c r="A218">
        <v>215</v>
      </c>
      <c r="B218">
        <v>230</v>
      </c>
      <c r="C218">
        <v>88.451999999999899</v>
      </c>
      <c r="D218">
        <v>27.082000000000001</v>
      </c>
      <c r="E218" t="s">
        <v>803</v>
      </c>
      <c r="F218">
        <v>0.5</v>
      </c>
      <c r="G218" t="s">
        <v>625</v>
      </c>
      <c r="H218" t="s">
        <v>72</v>
      </c>
      <c r="I218" t="s">
        <v>72</v>
      </c>
      <c r="J218" t="s">
        <v>72</v>
      </c>
      <c r="K218">
        <v>20</v>
      </c>
      <c r="L218">
        <v>27</v>
      </c>
      <c r="M218">
        <v>20</v>
      </c>
      <c r="N218">
        <v>0</v>
      </c>
      <c r="O218" t="s">
        <v>72</v>
      </c>
      <c r="P218" t="s">
        <v>140</v>
      </c>
      <c r="Q218">
        <v>0</v>
      </c>
      <c r="R218" t="s">
        <v>72</v>
      </c>
      <c r="S218" t="s">
        <v>73</v>
      </c>
      <c r="T218" t="s">
        <v>74</v>
      </c>
      <c r="U218" t="s">
        <v>90</v>
      </c>
      <c r="V218" t="s">
        <v>72</v>
      </c>
      <c r="W218" t="s">
        <v>76</v>
      </c>
      <c r="X218" t="s">
        <v>77</v>
      </c>
      <c r="Y218">
        <v>0</v>
      </c>
      <c r="Z218" t="s">
        <v>72</v>
      </c>
      <c r="AA218" t="s">
        <v>72</v>
      </c>
      <c r="AB218" t="s">
        <v>72</v>
      </c>
      <c r="AC218" t="s">
        <v>72</v>
      </c>
      <c r="AD218" t="s">
        <v>804</v>
      </c>
      <c r="AE218">
        <v>0</v>
      </c>
      <c r="AF218" t="s">
        <v>79</v>
      </c>
      <c r="AG218" t="s">
        <v>133</v>
      </c>
      <c r="AH218" t="s">
        <v>72</v>
      </c>
      <c r="AI218" t="s">
        <v>96</v>
      </c>
      <c r="AJ218" t="s">
        <v>97</v>
      </c>
      <c r="AK218">
        <v>0</v>
      </c>
      <c r="AL218">
        <v>0</v>
      </c>
      <c r="AM218">
        <v>0</v>
      </c>
      <c r="AN218" t="s">
        <v>72</v>
      </c>
      <c r="AO218" t="s">
        <v>72</v>
      </c>
      <c r="AP218" t="s">
        <v>72</v>
      </c>
      <c r="AQ218" t="s">
        <v>72</v>
      </c>
      <c r="AR218" t="s">
        <v>72</v>
      </c>
      <c r="AS218" t="s">
        <v>72</v>
      </c>
      <c r="AT218" t="s">
        <v>72</v>
      </c>
      <c r="AU218" t="s">
        <v>72</v>
      </c>
      <c r="AV218" t="s">
        <v>805</v>
      </c>
      <c r="AW218" t="s">
        <v>72</v>
      </c>
      <c r="AX218" t="s">
        <v>72</v>
      </c>
      <c r="AY218">
        <v>30.886299099999999</v>
      </c>
      <c r="AZ218">
        <v>246</v>
      </c>
      <c r="BA218">
        <v>-0.64</v>
      </c>
      <c r="BB218">
        <v>529.81597899999997</v>
      </c>
      <c r="BC218">
        <v>-0.14546700000000001</v>
      </c>
      <c r="BD218">
        <v>0.203649</v>
      </c>
      <c r="BE218">
        <v>180.2779999</v>
      </c>
      <c r="BF218">
        <v>6.0247998000000003</v>
      </c>
      <c r="BG218">
        <v>0.53439199999999998</v>
      </c>
      <c r="BH218">
        <v>2.2264099000000002</v>
      </c>
      <c r="BI218">
        <v>0.902887</v>
      </c>
      <c r="BJ218">
        <v>302.3349915</v>
      </c>
      <c r="BK218">
        <v>7</v>
      </c>
      <c r="BL218">
        <v>0</v>
      </c>
      <c r="BM218">
        <v>1937.6600341999999</v>
      </c>
      <c r="BN218">
        <v>4497.2597655999998</v>
      </c>
      <c r="BO218">
        <v>321.78900149999998</v>
      </c>
      <c r="BP218">
        <v>333</v>
      </c>
      <c r="BQ218">
        <v>6</v>
      </c>
      <c r="BR218">
        <v>3</v>
      </c>
    </row>
    <row r="219" spans="1:70" x14ac:dyDescent="0.25">
      <c r="A219">
        <v>216</v>
      </c>
      <c r="B219">
        <v>10618</v>
      </c>
      <c r="C219">
        <v>88.452106000000001</v>
      </c>
      <c r="D219">
        <v>27.073266</v>
      </c>
      <c r="E219" t="s">
        <v>806</v>
      </c>
      <c r="F219">
        <v>10</v>
      </c>
      <c r="G219" t="s">
        <v>102</v>
      </c>
      <c r="H219" t="s">
        <v>72</v>
      </c>
      <c r="I219" t="s">
        <v>72</v>
      </c>
      <c r="J219" t="s">
        <v>88</v>
      </c>
      <c r="K219">
        <v>450</v>
      </c>
      <c r="L219">
        <v>100</v>
      </c>
      <c r="M219">
        <v>350</v>
      </c>
      <c r="N219">
        <v>45000</v>
      </c>
      <c r="O219" t="s">
        <v>89</v>
      </c>
      <c r="P219" t="s">
        <v>72</v>
      </c>
      <c r="Q219">
        <v>450000</v>
      </c>
      <c r="R219" t="s">
        <v>72</v>
      </c>
      <c r="S219" t="s">
        <v>73</v>
      </c>
      <c r="T219" t="s">
        <v>74</v>
      </c>
      <c r="U219" t="s">
        <v>90</v>
      </c>
      <c r="V219" t="s">
        <v>807</v>
      </c>
      <c r="W219" t="s">
        <v>76</v>
      </c>
      <c r="X219" t="s">
        <v>119</v>
      </c>
      <c r="Y219">
        <v>2012</v>
      </c>
      <c r="Z219" t="s">
        <v>72</v>
      </c>
      <c r="AA219" t="s">
        <v>72</v>
      </c>
      <c r="AB219" t="s">
        <v>72</v>
      </c>
      <c r="AC219" t="s">
        <v>72</v>
      </c>
      <c r="AD219" t="s">
        <v>808</v>
      </c>
      <c r="AE219">
        <v>0</v>
      </c>
      <c r="AF219" t="s">
        <v>79</v>
      </c>
      <c r="AG219" t="s">
        <v>128</v>
      </c>
      <c r="AH219" t="s">
        <v>95</v>
      </c>
      <c r="AI219" t="s">
        <v>80</v>
      </c>
      <c r="AJ219" t="s">
        <v>113</v>
      </c>
      <c r="AK219">
        <v>0</v>
      </c>
      <c r="AL219">
        <v>0</v>
      </c>
      <c r="AM219">
        <v>0</v>
      </c>
      <c r="AN219" t="s">
        <v>98</v>
      </c>
      <c r="AO219" t="s">
        <v>82</v>
      </c>
      <c r="AP219" t="s">
        <v>99</v>
      </c>
      <c r="AQ219" t="s">
        <v>72</v>
      </c>
      <c r="AR219" t="s">
        <v>72</v>
      </c>
      <c r="AS219" t="s">
        <v>72</v>
      </c>
      <c r="AT219" t="s">
        <v>72</v>
      </c>
      <c r="AU219" t="s">
        <v>72</v>
      </c>
      <c r="AV219" t="s">
        <v>72</v>
      </c>
      <c r="AW219" t="s">
        <v>72</v>
      </c>
      <c r="AX219" t="s">
        <v>809</v>
      </c>
      <c r="AY219">
        <v>29.618499799999999</v>
      </c>
      <c r="AZ219">
        <v>245</v>
      </c>
      <c r="BA219">
        <v>-1.28</v>
      </c>
      <c r="BB219">
        <v>578.33300780000002</v>
      </c>
      <c r="BC219">
        <v>-0.16017899999999999</v>
      </c>
      <c r="BD219">
        <v>0.211758</v>
      </c>
      <c r="BE219">
        <v>426.65100100000001</v>
      </c>
      <c r="BF219">
        <v>6.6168298999999999</v>
      </c>
      <c r="BG219">
        <v>0.472223</v>
      </c>
      <c r="BH219">
        <v>2.9335499</v>
      </c>
      <c r="BI219">
        <v>0.50197199999999997</v>
      </c>
      <c r="BJ219">
        <v>810.18902590000005</v>
      </c>
      <c r="BK219">
        <v>4</v>
      </c>
      <c r="BL219">
        <v>0</v>
      </c>
      <c r="BM219">
        <v>2185.7900390999998</v>
      </c>
      <c r="BN219">
        <v>4789.8999022999997</v>
      </c>
      <c r="BO219">
        <v>309.28900149999998</v>
      </c>
      <c r="BP219">
        <v>773</v>
      </c>
      <c r="BQ219">
        <v>6</v>
      </c>
      <c r="BR219">
        <v>3</v>
      </c>
    </row>
    <row r="220" spans="1:70" x14ac:dyDescent="0.25">
      <c r="A220">
        <v>217</v>
      </c>
      <c r="B220">
        <v>245</v>
      </c>
      <c r="C220">
        <v>88.451999999999899</v>
      </c>
      <c r="D220">
        <v>27.071000000000002</v>
      </c>
      <c r="E220" t="s">
        <v>810</v>
      </c>
      <c r="F220">
        <v>10</v>
      </c>
      <c r="G220" t="s">
        <v>72</v>
      </c>
      <c r="H220" t="s">
        <v>72</v>
      </c>
      <c r="I220" t="s">
        <v>72</v>
      </c>
      <c r="J220" t="s">
        <v>72</v>
      </c>
      <c r="K220">
        <v>350</v>
      </c>
      <c r="L220">
        <v>100</v>
      </c>
      <c r="M220">
        <v>350</v>
      </c>
      <c r="N220">
        <v>0</v>
      </c>
      <c r="O220" t="s">
        <v>72</v>
      </c>
      <c r="P220" t="s">
        <v>72</v>
      </c>
      <c r="Q220">
        <v>0</v>
      </c>
      <c r="R220" t="s">
        <v>72</v>
      </c>
      <c r="S220" t="s">
        <v>73</v>
      </c>
      <c r="T220" t="s">
        <v>74</v>
      </c>
      <c r="U220" t="s">
        <v>90</v>
      </c>
      <c r="V220" t="s">
        <v>72</v>
      </c>
      <c r="W220" t="s">
        <v>76</v>
      </c>
      <c r="X220" t="s">
        <v>119</v>
      </c>
      <c r="Y220">
        <v>2012</v>
      </c>
      <c r="Z220" t="s">
        <v>72</v>
      </c>
      <c r="AA220" t="s">
        <v>72</v>
      </c>
      <c r="AB220" t="s">
        <v>72</v>
      </c>
      <c r="AC220" t="s">
        <v>72</v>
      </c>
      <c r="AD220" t="s">
        <v>808</v>
      </c>
      <c r="AE220">
        <v>0</v>
      </c>
      <c r="AF220" t="s">
        <v>79</v>
      </c>
      <c r="AG220" t="s">
        <v>128</v>
      </c>
      <c r="AH220" t="s">
        <v>72</v>
      </c>
      <c r="AI220" t="s">
        <v>80</v>
      </c>
      <c r="AJ220" t="s">
        <v>72</v>
      </c>
      <c r="AK220">
        <v>0</v>
      </c>
      <c r="AL220">
        <v>0</v>
      </c>
      <c r="AM220">
        <v>0</v>
      </c>
      <c r="AN220" t="s">
        <v>72</v>
      </c>
      <c r="AO220" t="s">
        <v>151</v>
      </c>
      <c r="AP220" t="s">
        <v>72</v>
      </c>
      <c r="AQ220" t="s">
        <v>72</v>
      </c>
      <c r="AR220" t="s">
        <v>72</v>
      </c>
      <c r="AS220" t="s">
        <v>72</v>
      </c>
      <c r="AT220" t="s">
        <v>811</v>
      </c>
      <c r="AU220" t="s">
        <v>72</v>
      </c>
      <c r="AV220" t="s">
        <v>72</v>
      </c>
      <c r="AW220" t="s">
        <v>72</v>
      </c>
      <c r="AX220" t="s">
        <v>812</v>
      </c>
      <c r="AY220">
        <v>30.113700900000001</v>
      </c>
      <c r="AZ220">
        <v>219</v>
      </c>
      <c r="BA220">
        <v>-2.5599999000000002</v>
      </c>
      <c r="BB220">
        <v>594.28802489999998</v>
      </c>
      <c r="BC220">
        <v>-0.183721</v>
      </c>
      <c r="BD220">
        <v>0.24147199999999999</v>
      </c>
      <c r="BE220">
        <v>197.64199830000001</v>
      </c>
      <c r="BF220">
        <v>6.5044398000000001</v>
      </c>
      <c r="BG220">
        <v>0.49382900000000002</v>
      </c>
      <c r="BH220">
        <v>2.8582301000000001</v>
      </c>
      <c r="BI220">
        <v>0.33121699999999998</v>
      </c>
      <c r="BJ220">
        <v>876.1599731</v>
      </c>
      <c r="BK220">
        <v>4</v>
      </c>
      <c r="BL220">
        <v>0</v>
      </c>
      <c r="BM220">
        <v>2309.5300293</v>
      </c>
      <c r="BN220">
        <v>4897</v>
      </c>
      <c r="BO220">
        <v>0</v>
      </c>
      <c r="BP220">
        <v>902</v>
      </c>
      <c r="BQ220">
        <v>6</v>
      </c>
      <c r="BR220">
        <v>3</v>
      </c>
    </row>
    <row r="221" spans="1:70" x14ac:dyDescent="0.25">
      <c r="A221">
        <v>218</v>
      </c>
      <c r="B221">
        <v>10228</v>
      </c>
      <c r="C221">
        <v>88.452721999999895</v>
      </c>
      <c r="D221">
        <v>27.071138999999899</v>
      </c>
      <c r="E221" t="s">
        <v>813</v>
      </c>
      <c r="F221">
        <v>1</v>
      </c>
      <c r="G221" t="s">
        <v>102</v>
      </c>
      <c r="H221" t="s">
        <v>72</v>
      </c>
      <c r="I221" t="s">
        <v>72</v>
      </c>
      <c r="J221" t="s">
        <v>88</v>
      </c>
      <c r="K221">
        <v>65</v>
      </c>
      <c r="L221">
        <v>30</v>
      </c>
      <c r="M221">
        <v>40</v>
      </c>
      <c r="N221">
        <v>1950</v>
      </c>
      <c r="O221" t="s">
        <v>89</v>
      </c>
      <c r="P221" t="s">
        <v>72</v>
      </c>
      <c r="Q221">
        <v>1950</v>
      </c>
      <c r="R221" t="s">
        <v>72</v>
      </c>
      <c r="S221" t="s">
        <v>73</v>
      </c>
      <c r="T221" t="s">
        <v>74</v>
      </c>
      <c r="U221" t="s">
        <v>90</v>
      </c>
      <c r="V221" t="s">
        <v>814</v>
      </c>
      <c r="W221" t="s">
        <v>159</v>
      </c>
      <c r="X221" t="s">
        <v>77</v>
      </c>
      <c r="Y221">
        <v>2014</v>
      </c>
      <c r="Z221" t="s">
        <v>72</v>
      </c>
      <c r="AA221" t="s">
        <v>72</v>
      </c>
      <c r="AB221" t="s">
        <v>72</v>
      </c>
      <c r="AC221" t="s">
        <v>72</v>
      </c>
      <c r="AD221" t="s">
        <v>815</v>
      </c>
      <c r="AE221">
        <v>15</v>
      </c>
      <c r="AF221" t="s">
        <v>79</v>
      </c>
      <c r="AG221" t="s">
        <v>94</v>
      </c>
      <c r="AH221" t="s">
        <v>95</v>
      </c>
      <c r="AI221" t="s">
        <v>96</v>
      </c>
      <c r="AJ221" t="s">
        <v>97</v>
      </c>
      <c r="AK221">
        <v>0</v>
      </c>
      <c r="AL221">
        <v>0</v>
      </c>
      <c r="AM221">
        <v>0</v>
      </c>
      <c r="AN221" t="s">
        <v>98</v>
      </c>
      <c r="AO221" t="s">
        <v>82</v>
      </c>
      <c r="AP221" t="s">
        <v>99</v>
      </c>
      <c r="AQ221" t="s">
        <v>72</v>
      </c>
      <c r="AR221" t="s">
        <v>72</v>
      </c>
      <c r="AS221" t="s">
        <v>72</v>
      </c>
      <c r="AT221" t="s">
        <v>72</v>
      </c>
      <c r="AU221" t="s">
        <v>72</v>
      </c>
      <c r="AV221" t="s">
        <v>72</v>
      </c>
      <c r="AW221" t="s">
        <v>72</v>
      </c>
      <c r="AX221" t="s">
        <v>103</v>
      </c>
      <c r="AY221">
        <v>29.076599099999999</v>
      </c>
      <c r="AZ221">
        <v>244</v>
      </c>
      <c r="BA221">
        <v>0.64</v>
      </c>
      <c r="BB221">
        <v>594.28802489999998</v>
      </c>
      <c r="BC221">
        <v>-0.19259799999999999</v>
      </c>
      <c r="BD221">
        <v>0.24352499999999999</v>
      </c>
      <c r="BE221">
        <v>194.4539948</v>
      </c>
      <c r="BF221">
        <v>5.9808402000000003</v>
      </c>
      <c r="BG221">
        <v>0.494446</v>
      </c>
      <c r="BH221">
        <v>2.2702898999999999</v>
      </c>
      <c r="BI221">
        <v>0.31930399999999998</v>
      </c>
      <c r="BJ221">
        <v>800.39099120000003</v>
      </c>
      <c r="BK221">
        <v>4</v>
      </c>
      <c r="BL221">
        <v>0</v>
      </c>
      <c r="BM221">
        <v>2366.6999512000002</v>
      </c>
      <c r="BN221">
        <v>4824.4301758000001</v>
      </c>
      <c r="BO221">
        <v>322.3059998</v>
      </c>
      <c r="BP221">
        <v>903</v>
      </c>
      <c r="BQ221">
        <v>6</v>
      </c>
      <c r="BR221">
        <v>7</v>
      </c>
    </row>
    <row r="222" spans="1:70" x14ac:dyDescent="0.25">
      <c r="A222">
        <v>219</v>
      </c>
      <c r="B222">
        <v>8752</v>
      </c>
      <c r="C222">
        <v>88.444556000000006</v>
      </c>
      <c r="D222">
        <v>27.105972000000001</v>
      </c>
      <c r="E222" t="s">
        <v>816</v>
      </c>
      <c r="F222">
        <v>2.5</v>
      </c>
      <c r="G222" t="s">
        <v>225</v>
      </c>
      <c r="H222" t="s">
        <v>581</v>
      </c>
      <c r="I222" t="s">
        <v>72</v>
      </c>
      <c r="J222" t="s">
        <v>562</v>
      </c>
      <c r="K222">
        <v>20</v>
      </c>
      <c r="L222">
        <v>150</v>
      </c>
      <c r="M222">
        <v>15</v>
      </c>
      <c r="N222">
        <v>3000</v>
      </c>
      <c r="O222" t="s">
        <v>817</v>
      </c>
      <c r="P222" t="s">
        <v>72</v>
      </c>
      <c r="Q222">
        <v>4500</v>
      </c>
      <c r="R222" t="s">
        <v>72</v>
      </c>
      <c r="S222" t="s">
        <v>563</v>
      </c>
      <c r="T222" t="s">
        <v>564</v>
      </c>
      <c r="U222" t="s">
        <v>90</v>
      </c>
      <c r="V222" t="s">
        <v>72</v>
      </c>
      <c r="W222" t="s">
        <v>76</v>
      </c>
      <c r="X222" t="s">
        <v>119</v>
      </c>
      <c r="Y222">
        <v>0</v>
      </c>
      <c r="Z222" t="s">
        <v>72</v>
      </c>
      <c r="AA222" t="s">
        <v>72</v>
      </c>
      <c r="AB222" t="s">
        <v>72</v>
      </c>
      <c r="AC222" t="s">
        <v>72</v>
      </c>
      <c r="AD222" t="s">
        <v>565</v>
      </c>
      <c r="AE222">
        <v>20</v>
      </c>
      <c r="AF222" t="s">
        <v>79</v>
      </c>
      <c r="AG222" t="s">
        <v>128</v>
      </c>
      <c r="AH222" t="s">
        <v>95</v>
      </c>
      <c r="AI222" t="s">
        <v>121</v>
      </c>
      <c r="AJ222" t="s">
        <v>97</v>
      </c>
      <c r="AK222">
        <v>0</v>
      </c>
      <c r="AL222">
        <v>0</v>
      </c>
      <c r="AM222">
        <v>0</v>
      </c>
      <c r="AN222" t="s">
        <v>192</v>
      </c>
      <c r="AO222" t="s">
        <v>107</v>
      </c>
      <c r="AP222" t="s">
        <v>386</v>
      </c>
      <c r="AQ222" t="s">
        <v>72</v>
      </c>
      <c r="AR222" t="s">
        <v>72</v>
      </c>
      <c r="AS222" t="s">
        <v>72</v>
      </c>
      <c r="AT222" t="s">
        <v>72</v>
      </c>
      <c r="AU222" t="s">
        <v>72</v>
      </c>
      <c r="AV222" t="s">
        <v>72</v>
      </c>
      <c r="AW222" t="s">
        <v>72</v>
      </c>
      <c r="AX222" t="s">
        <v>379</v>
      </c>
      <c r="AY222">
        <v>24.443300199999999</v>
      </c>
      <c r="AZ222">
        <v>157</v>
      </c>
      <c r="BA222">
        <v>0.64</v>
      </c>
      <c r="BB222">
        <v>507.10598750000003</v>
      </c>
      <c r="BC222">
        <v>-0.15128900000000001</v>
      </c>
      <c r="BD222">
        <v>0.16812199999999999</v>
      </c>
      <c r="BE222">
        <v>1247.6199951000001</v>
      </c>
      <c r="BF222">
        <v>4.0073600000000003</v>
      </c>
      <c r="BG222">
        <v>0.47058800000000001</v>
      </c>
      <c r="BH222">
        <v>-0.78528799999999999</v>
      </c>
      <c r="BI222">
        <v>0.27395399999999998</v>
      </c>
      <c r="BJ222">
        <v>362.5</v>
      </c>
      <c r="BK222">
        <v>4</v>
      </c>
      <c r="BL222">
        <v>0</v>
      </c>
      <c r="BM222">
        <v>2870.8898926000002</v>
      </c>
      <c r="BN222">
        <v>5423.5898438000004</v>
      </c>
      <c r="BO222">
        <v>219.6439972</v>
      </c>
      <c r="BP222">
        <v>743</v>
      </c>
      <c r="BQ222">
        <v>6</v>
      </c>
      <c r="BR222">
        <v>7</v>
      </c>
    </row>
    <row r="223" spans="1:70" x14ac:dyDescent="0.25">
      <c r="A223">
        <v>220</v>
      </c>
      <c r="B223">
        <v>8753</v>
      </c>
      <c r="C223">
        <v>88.449388999999897</v>
      </c>
      <c r="D223">
        <v>27.106694000000001</v>
      </c>
      <c r="E223" t="s">
        <v>818</v>
      </c>
      <c r="F223">
        <v>2.5</v>
      </c>
      <c r="G223" t="s">
        <v>225</v>
      </c>
      <c r="H223" t="s">
        <v>819</v>
      </c>
      <c r="I223" t="s">
        <v>72</v>
      </c>
      <c r="J223" t="s">
        <v>562</v>
      </c>
      <c r="K223">
        <v>15</v>
      </c>
      <c r="L223">
        <v>60</v>
      </c>
      <c r="M223">
        <v>12</v>
      </c>
      <c r="N223">
        <v>900</v>
      </c>
      <c r="O223" t="s">
        <v>89</v>
      </c>
      <c r="P223" t="s">
        <v>72</v>
      </c>
      <c r="Q223">
        <v>1440</v>
      </c>
      <c r="R223" t="s">
        <v>72</v>
      </c>
      <c r="S223" t="s">
        <v>563</v>
      </c>
      <c r="T223" t="s">
        <v>564</v>
      </c>
      <c r="U223" t="s">
        <v>90</v>
      </c>
      <c r="V223" t="s">
        <v>72</v>
      </c>
      <c r="W223" t="s">
        <v>76</v>
      </c>
      <c r="X223" t="s">
        <v>77</v>
      </c>
      <c r="Y223">
        <v>0</v>
      </c>
      <c r="Z223" t="s">
        <v>72</v>
      </c>
      <c r="AA223" t="s">
        <v>72</v>
      </c>
      <c r="AB223" t="s">
        <v>72</v>
      </c>
      <c r="AC223" t="s">
        <v>72</v>
      </c>
      <c r="AD223" t="s">
        <v>565</v>
      </c>
      <c r="AE223">
        <v>20</v>
      </c>
      <c r="AF223" t="s">
        <v>79</v>
      </c>
      <c r="AG223" t="s">
        <v>94</v>
      </c>
      <c r="AH223" t="s">
        <v>95</v>
      </c>
      <c r="AI223" t="s">
        <v>150</v>
      </c>
      <c r="AJ223" t="s">
        <v>97</v>
      </c>
      <c r="AK223">
        <v>0</v>
      </c>
      <c r="AL223">
        <v>0</v>
      </c>
      <c r="AM223">
        <v>0</v>
      </c>
      <c r="AN223" t="s">
        <v>192</v>
      </c>
      <c r="AO223" t="s">
        <v>107</v>
      </c>
      <c r="AP223" t="s">
        <v>386</v>
      </c>
      <c r="AQ223" t="s">
        <v>72</v>
      </c>
      <c r="AR223" t="s">
        <v>72</v>
      </c>
      <c r="AS223" t="s">
        <v>72</v>
      </c>
      <c r="AT223" t="s">
        <v>72</v>
      </c>
      <c r="AU223" t="s">
        <v>72</v>
      </c>
      <c r="AV223" t="s">
        <v>567</v>
      </c>
      <c r="AW223" t="s">
        <v>72</v>
      </c>
      <c r="AX223" t="s">
        <v>568</v>
      </c>
      <c r="AY223">
        <v>27.629800800000002</v>
      </c>
      <c r="AZ223">
        <v>107</v>
      </c>
      <c r="BA223">
        <v>0.64</v>
      </c>
      <c r="BB223">
        <v>516.78002930000002</v>
      </c>
      <c r="BC223">
        <v>-0.169151</v>
      </c>
      <c r="BD223">
        <v>0.18878400000000001</v>
      </c>
      <c r="BE223">
        <v>963.47399900000005</v>
      </c>
      <c r="BF223">
        <v>5.8120998999999998</v>
      </c>
      <c r="BG223">
        <v>0.49206499999999997</v>
      </c>
      <c r="BH223">
        <v>1.9196200000000001</v>
      </c>
      <c r="BI223">
        <v>0.31125000000000003</v>
      </c>
      <c r="BJ223">
        <v>699.66497800000002</v>
      </c>
      <c r="BK223">
        <v>4</v>
      </c>
      <c r="BL223">
        <v>0</v>
      </c>
      <c r="BM223">
        <v>3168.4499512000002</v>
      </c>
      <c r="BN223">
        <v>5002.2700194999998</v>
      </c>
      <c r="BO223">
        <v>186.58200070000001</v>
      </c>
      <c r="BP223">
        <v>734</v>
      </c>
      <c r="BQ223">
        <v>6</v>
      </c>
      <c r="BR223">
        <v>7</v>
      </c>
    </row>
    <row r="224" spans="1:70" x14ac:dyDescent="0.25">
      <c r="A224">
        <v>221</v>
      </c>
      <c r="B224">
        <v>8751</v>
      </c>
      <c r="C224">
        <v>88.433750000000003</v>
      </c>
      <c r="D224">
        <v>27.106943999999899</v>
      </c>
      <c r="E224" t="s">
        <v>820</v>
      </c>
      <c r="F224">
        <v>2.5</v>
      </c>
      <c r="G224" t="s">
        <v>671</v>
      </c>
      <c r="H224" t="s">
        <v>821</v>
      </c>
      <c r="I224" t="s">
        <v>72</v>
      </c>
      <c r="J224" t="s">
        <v>562</v>
      </c>
      <c r="K224">
        <v>60</v>
      </c>
      <c r="L224">
        <v>200</v>
      </c>
      <c r="M224">
        <v>50</v>
      </c>
      <c r="N224">
        <v>12000</v>
      </c>
      <c r="O224" t="s">
        <v>817</v>
      </c>
      <c r="P224" t="s">
        <v>72</v>
      </c>
      <c r="Q224">
        <v>20000</v>
      </c>
      <c r="R224" t="s">
        <v>72</v>
      </c>
      <c r="S224" t="s">
        <v>563</v>
      </c>
      <c r="T224" t="s">
        <v>564</v>
      </c>
      <c r="U224" t="s">
        <v>90</v>
      </c>
      <c r="V224" t="s">
        <v>72</v>
      </c>
      <c r="W224" t="s">
        <v>76</v>
      </c>
      <c r="X224" t="s">
        <v>119</v>
      </c>
      <c r="Y224">
        <v>0</v>
      </c>
      <c r="Z224" t="s">
        <v>72</v>
      </c>
      <c r="AA224" t="s">
        <v>72</v>
      </c>
      <c r="AB224" t="s">
        <v>72</v>
      </c>
      <c r="AC224" t="s">
        <v>72</v>
      </c>
      <c r="AD224" t="s">
        <v>565</v>
      </c>
      <c r="AE224">
        <v>40</v>
      </c>
      <c r="AF224" t="s">
        <v>148</v>
      </c>
      <c r="AG224" t="s">
        <v>385</v>
      </c>
      <c r="AH224" t="s">
        <v>95</v>
      </c>
      <c r="AI224" t="s">
        <v>121</v>
      </c>
      <c r="AJ224" t="s">
        <v>97</v>
      </c>
      <c r="AK224">
        <v>0</v>
      </c>
      <c r="AL224">
        <v>0</v>
      </c>
      <c r="AM224">
        <v>0</v>
      </c>
      <c r="AN224" t="s">
        <v>192</v>
      </c>
      <c r="AO224" t="s">
        <v>107</v>
      </c>
      <c r="AP224" t="s">
        <v>200</v>
      </c>
      <c r="AQ224" t="s">
        <v>72</v>
      </c>
      <c r="AR224" t="s">
        <v>72</v>
      </c>
      <c r="AS224" t="s">
        <v>72</v>
      </c>
      <c r="AT224" t="s">
        <v>72</v>
      </c>
      <c r="AU224" t="s">
        <v>72</v>
      </c>
      <c r="AV224" t="s">
        <v>567</v>
      </c>
      <c r="AW224" t="s">
        <v>72</v>
      </c>
      <c r="AX224" t="s">
        <v>462</v>
      </c>
      <c r="AY224">
        <v>37.429599799999998</v>
      </c>
      <c r="AZ224">
        <v>45</v>
      </c>
      <c r="BA224">
        <v>-0.64</v>
      </c>
      <c r="BB224">
        <v>570.44201659999999</v>
      </c>
      <c r="BC224">
        <v>-0.126028</v>
      </c>
      <c r="BD224">
        <v>0.13323599999999999</v>
      </c>
      <c r="BE224">
        <v>1950.1600341999999</v>
      </c>
      <c r="BF224">
        <v>4.7390299000000002</v>
      </c>
      <c r="BG224">
        <v>0.487923</v>
      </c>
      <c r="BH224">
        <v>1.5258400000000001</v>
      </c>
      <c r="BI224">
        <v>0.13101499999999999</v>
      </c>
      <c r="BJ224">
        <v>617.45397949999995</v>
      </c>
      <c r="BK224">
        <v>4</v>
      </c>
      <c r="BL224">
        <v>0</v>
      </c>
      <c r="BM224">
        <v>2620.7399902000002</v>
      </c>
      <c r="BN224">
        <v>6481.7299805000002</v>
      </c>
      <c r="BO224">
        <v>162.51199339999999</v>
      </c>
      <c r="BP224">
        <v>818</v>
      </c>
      <c r="BQ224">
        <v>6</v>
      </c>
      <c r="BR224">
        <v>7</v>
      </c>
    </row>
    <row r="225" spans="1:70" x14ac:dyDescent="0.25">
      <c r="A225">
        <v>222</v>
      </c>
      <c r="B225">
        <v>12760</v>
      </c>
      <c r="C225">
        <v>88.466354999999893</v>
      </c>
      <c r="D225">
        <v>26.990195</v>
      </c>
      <c r="E225" t="s">
        <v>822</v>
      </c>
      <c r="F225">
        <v>1</v>
      </c>
      <c r="G225" t="s">
        <v>112</v>
      </c>
      <c r="H225" t="s">
        <v>72</v>
      </c>
      <c r="I225" t="s">
        <v>72</v>
      </c>
      <c r="J225" t="s">
        <v>189</v>
      </c>
      <c r="K225">
        <v>131</v>
      </c>
      <c r="L225">
        <v>118</v>
      </c>
      <c r="M225">
        <v>0</v>
      </c>
      <c r="N225">
        <v>15458</v>
      </c>
      <c r="O225" t="s">
        <v>89</v>
      </c>
      <c r="P225" t="s">
        <v>215</v>
      </c>
      <c r="Q225">
        <v>15458</v>
      </c>
      <c r="R225" t="s">
        <v>72</v>
      </c>
      <c r="S225" t="s">
        <v>73</v>
      </c>
      <c r="T225" t="s">
        <v>74</v>
      </c>
      <c r="U225" t="s">
        <v>190</v>
      </c>
      <c r="V225" t="s">
        <v>360</v>
      </c>
      <c r="W225" t="s">
        <v>92</v>
      </c>
      <c r="X225" t="s">
        <v>77</v>
      </c>
      <c r="Y225">
        <v>2014</v>
      </c>
      <c r="Z225" t="s">
        <v>72</v>
      </c>
      <c r="AA225" t="s">
        <v>72</v>
      </c>
      <c r="AB225" t="s">
        <v>72</v>
      </c>
      <c r="AC225" t="s">
        <v>72</v>
      </c>
      <c r="AD225" t="s">
        <v>72</v>
      </c>
      <c r="AE225">
        <v>0</v>
      </c>
      <c r="AF225" t="s">
        <v>148</v>
      </c>
      <c r="AG225" t="s">
        <v>94</v>
      </c>
      <c r="AH225" t="s">
        <v>95</v>
      </c>
      <c r="AI225" t="s">
        <v>96</v>
      </c>
      <c r="AJ225" t="s">
        <v>97</v>
      </c>
      <c r="AK225">
        <v>0</v>
      </c>
      <c r="AL225">
        <v>0</v>
      </c>
      <c r="AM225">
        <v>0</v>
      </c>
      <c r="AN225" t="s">
        <v>336</v>
      </c>
      <c r="AO225" t="s">
        <v>221</v>
      </c>
      <c r="AP225" t="s">
        <v>200</v>
      </c>
      <c r="AQ225" t="s">
        <v>72</v>
      </c>
      <c r="AR225" t="s">
        <v>72</v>
      </c>
      <c r="AS225" t="s">
        <v>72</v>
      </c>
      <c r="AT225" t="s">
        <v>72</v>
      </c>
      <c r="AU225" t="s">
        <v>72</v>
      </c>
      <c r="AV225" t="s">
        <v>217</v>
      </c>
      <c r="AW225" t="s">
        <v>72</v>
      </c>
      <c r="AX225" t="s">
        <v>361</v>
      </c>
      <c r="AY225">
        <v>22.677700000000002</v>
      </c>
      <c r="AZ225">
        <v>138</v>
      </c>
      <c r="BA225">
        <v>1.28</v>
      </c>
      <c r="BB225">
        <v>350.14300539999999</v>
      </c>
      <c r="BC225">
        <v>-0.18255099999999999</v>
      </c>
      <c r="BD225">
        <v>0.22185099999999999</v>
      </c>
      <c r="BE225">
        <v>699.66497800000002</v>
      </c>
      <c r="BF225">
        <v>5.3442702000000004</v>
      </c>
      <c r="BG225">
        <v>0.495728</v>
      </c>
      <c r="BH225">
        <v>0.92168799999999995</v>
      </c>
      <c r="BI225">
        <v>0.86256600000000005</v>
      </c>
      <c r="BJ225">
        <v>279.50799560000002</v>
      </c>
      <c r="BK225">
        <v>4</v>
      </c>
      <c r="BL225">
        <v>0</v>
      </c>
      <c r="BM225">
        <v>2085.3999023000001</v>
      </c>
      <c r="BN225">
        <v>1556.0899658000001</v>
      </c>
      <c r="BO225">
        <v>68.962501500000002</v>
      </c>
      <c r="BP225">
        <v>477</v>
      </c>
      <c r="BQ225">
        <v>5</v>
      </c>
      <c r="BR225">
        <v>7</v>
      </c>
    </row>
    <row r="226" spans="1:70" x14ac:dyDescent="0.25">
      <c r="A226">
        <v>223</v>
      </c>
      <c r="B226">
        <v>10206</v>
      </c>
      <c r="C226">
        <v>88.470775000000003</v>
      </c>
      <c r="D226">
        <v>27.002613</v>
      </c>
      <c r="E226" t="s">
        <v>823</v>
      </c>
      <c r="F226">
        <v>1</v>
      </c>
      <c r="G226" t="s">
        <v>162</v>
      </c>
      <c r="H226" t="s">
        <v>72</v>
      </c>
      <c r="I226" t="s">
        <v>72</v>
      </c>
      <c r="J226" t="s">
        <v>88</v>
      </c>
      <c r="K226">
        <v>105</v>
      </c>
      <c r="L226">
        <v>108</v>
      </c>
      <c r="M226">
        <v>0</v>
      </c>
      <c r="N226">
        <v>11340</v>
      </c>
      <c r="O226" t="s">
        <v>89</v>
      </c>
      <c r="P226" t="s">
        <v>72</v>
      </c>
      <c r="Q226">
        <v>11340</v>
      </c>
      <c r="R226" t="s">
        <v>72</v>
      </c>
      <c r="S226" t="s">
        <v>73</v>
      </c>
      <c r="T226" t="s">
        <v>74</v>
      </c>
      <c r="U226" t="s">
        <v>90</v>
      </c>
      <c r="V226" t="s">
        <v>72</v>
      </c>
      <c r="W226" t="s">
        <v>76</v>
      </c>
      <c r="X226" t="s">
        <v>77</v>
      </c>
      <c r="Y226">
        <v>2010</v>
      </c>
      <c r="Z226" t="s">
        <v>72</v>
      </c>
      <c r="AA226" t="s">
        <v>72</v>
      </c>
      <c r="AB226" t="s">
        <v>72</v>
      </c>
      <c r="AC226" t="s">
        <v>72</v>
      </c>
      <c r="AD226" t="s">
        <v>72</v>
      </c>
      <c r="AE226">
        <v>0</v>
      </c>
      <c r="AF226" t="s">
        <v>79</v>
      </c>
      <c r="AG226" t="s">
        <v>94</v>
      </c>
      <c r="AH226" t="s">
        <v>95</v>
      </c>
      <c r="AI226" t="s">
        <v>96</v>
      </c>
      <c r="AJ226" t="s">
        <v>113</v>
      </c>
      <c r="AK226">
        <v>0</v>
      </c>
      <c r="AL226">
        <v>0</v>
      </c>
      <c r="AM226">
        <v>0</v>
      </c>
      <c r="AN226" t="s">
        <v>192</v>
      </c>
      <c r="AO226" t="s">
        <v>82</v>
      </c>
      <c r="AP226" t="s">
        <v>114</v>
      </c>
      <c r="AQ226" t="s">
        <v>72</v>
      </c>
      <c r="AR226" t="s">
        <v>72</v>
      </c>
      <c r="AS226" t="s">
        <v>72</v>
      </c>
      <c r="AT226" t="s">
        <v>824</v>
      </c>
      <c r="AU226" t="s">
        <v>72</v>
      </c>
      <c r="AV226" t="s">
        <v>72</v>
      </c>
      <c r="AW226" t="s">
        <v>72</v>
      </c>
      <c r="AX226" t="s">
        <v>72</v>
      </c>
      <c r="AY226">
        <v>26.1471996</v>
      </c>
      <c r="AZ226">
        <v>102</v>
      </c>
      <c r="BA226">
        <v>0.64</v>
      </c>
      <c r="BB226">
        <v>344.76998900000001</v>
      </c>
      <c r="BC226">
        <v>-0.16503399999999999</v>
      </c>
      <c r="BD226">
        <v>0.19492699999999999</v>
      </c>
      <c r="BE226">
        <v>743.30297849999999</v>
      </c>
      <c r="BF226">
        <v>5.64534</v>
      </c>
      <c r="BG226">
        <v>0.50427200000000005</v>
      </c>
      <c r="BH226">
        <v>1.7651699999999999</v>
      </c>
      <c r="BI226">
        <v>1.1704201000000001</v>
      </c>
      <c r="BJ226">
        <v>67.314598099999998</v>
      </c>
      <c r="BK226">
        <v>4</v>
      </c>
      <c r="BL226">
        <v>25.819599199999999</v>
      </c>
      <c r="BM226">
        <v>1292.4100341999999</v>
      </c>
      <c r="BN226">
        <v>433.19299319999999</v>
      </c>
      <c r="BO226">
        <v>176.49600219999999</v>
      </c>
      <c r="BP226">
        <v>265</v>
      </c>
      <c r="BQ226">
        <v>5</v>
      </c>
      <c r="BR226">
        <v>7</v>
      </c>
    </row>
    <row r="227" spans="1:70" x14ac:dyDescent="0.25">
      <c r="A227">
        <v>224</v>
      </c>
      <c r="B227">
        <v>12854</v>
      </c>
      <c r="C227">
        <v>88.4709229999999</v>
      </c>
      <c r="D227">
        <v>26.9996849999999</v>
      </c>
      <c r="E227" t="s">
        <v>825</v>
      </c>
      <c r="F227">
        <v>1</v>
      </c>
      <c r="G227" t="s">
        <v>102</v>
      </c>
      <c r="H227" t="s">
        <v>72</v>
      </c>
      <c r="I227" t="s">
        <v>72</v>
      </c>
      <c r="J227" t="s">
        <v>189</v>
      </c>
      <c r="K227">
        <v>126</v>
      </c>
      <c r="L227">
        <v>109</v>
      </c>
      <c r="M227">
        <v>49</v>
      </c>
      <c r="N227">
        <v>13734</v>
      </c>
      <c r="O227" t="s">
        <v>89</v>
      </c>
      <c r="P227" t="s">
        <v>72</v>
      </c>
      <c r="Q227">
        <v>13734</v>
      </c>
      <c r="R227" t="s">
        <v>72</v>
      </c>
      <c r="S227" t="s">
        <v>73</v>
      </c>
      <c r="T227" t="s">
        <v>74</v>
      </c>
      <c r="U227" t="s">
        <v>190</v>
      </c>
      <c r="V227" t="s">
        <v>826</v>
      </c>
      <c r="W227" t="s">
        <v>208</v>
      </c>
      <c r="X227" t="s">
        <v>77</v>
      </c>
      <c r="Y227">
        <v>2010</v>
      </c>
      <c r="Z227" t="s">
        <v>72</v>
      </c>
      <c r="AA227" t="s">
        <v>72</v>
      </c>
      <c r="AB227" t="s">
        <v>72</v>
      </c>
      <c r="AC227" t="s">
        <v>72</v>
      </c>
      <c r="AD227" t="s">
        <v>72</v>
      </c>
      <c r="AE227">
        <v>0</v>
      </c>
      <c r="AF227" t="s">
        <v>79</v>
      </c>
      <c r="AG227" t="s">
        <v>94</v>
      </c>
      <c r="AH227" t="s">
        <v>95</v>
      </c>
      <c r="AI227" t="s">
        <v>210</v>
      </c>
      <c r="AJ227" t="s">
        <v>97</v>
      </c>
      <c r="AK227">
        <v>0</v>
      </c>
      <c r="AL227">
        <v>0</v>
      </c>
      <c r="AM227">
        <v>0</v>
      </c>
      <c r="AN227" t="s">
        <v>98</v>
      </c>
      <c r="AO227" t="s">
        <v>193</v>
      </c>
      <c r="AP227" t="s">
        <v>99</v>
      </c>
      <c r="AQ227" t="s">
        <v>72</v>
      </c>
      <c r="AR227" t="s">
        <v>72</v>
      </c>
      <c r="AS227" t="s">
        <v>72</v>
      </c>
      <c r="AT227" t="s">
        <v>72</v>
      </c>
      <c r="AU227" t="s">
        <v>72</v>
      </c>
      <c r="AV227" t="s">
        <v>394</v>
      </c>
      <c r="AW227" t="s">
        <v>72</v>
      </c>
      <c r="AX227" t="s">
        <v>827</v>
      </c>
      <c r="AY227">
        <v>26.6382008</v>
      </c>
      <c r="AZ227">
        <v>131</v>
      </c>
      <c r="BA227">
        <v>0.64</v>
      </c>
      <c r="BB227">
        <v>347.21600339999998</v>
      </c>
      <c r="BC227">
        <v>-0.17835999999999999</v>
      </c>
      <c r="BD227">
        <v>0.208786</v>
      </c>
      <c r="BE227">
        <v>438.92599489999998</v>
      </c>
      <c r="BF227">
        <v>3.2156899000000001</v>
      </c>
      <c r="BG227">
        <v>0.43055500000000002</v>
      </c>
      <c r="BH227">
        <v>-7.5957198000000004</v>
      </c>
      <c r="BI227">
        <v>1.1043299</v>
      </c>
      <c r="BJ227">
        <v>134.62899780000001</v>
      </c>
      <c r="BK227">
        <v>4</v>
      </c>
      <c r="BL227">
        <v>4.1037998</v>
      </c>
      <c r="BM227">
        <v>1549.8499756000001</v>
      </c>
      <c r="BN227">
        <v>709.97399900000005</v>
      </c>
      <c r="BO227">
        <v>66.501403800000006</v>
      </c>
      <c r="BP227">
        <v>328</v>
      </c>
      <c r="BQ227">
        <v>5</v>
      </c>
      <c r="BR227">
        <v>7</v>
      </c>
    </row>
    <row r="228" spans="1:70" x14ac:dyDescent="0.25">
      <c r="A228">
        <v>225</v>
      </c>
      <c r="B228">
        <v>12706</v>
      </c>
      <c r="C228">
        <v>88.470421000000002</v>
      </c>
      <c r="D228">
        <v>26.992017000000001</v>
      </c>
      <c r="E228" t="s">
        <v>828</v>
      </c>
      <c r="F228">
        <v>1</v>
      </c>
      <c r="G228" t="s">
        <v>112</v>
      </c>
      <c r="H228" t="s">
        <v>72</v>
      </c>
      <c r="I228" t="s">
        <v>72</v>
      </c>
      <c r="J228" t="s">
        <v>189</v>
      </c>
      <c r="K228">
        <v>264</v>
      </c>
      <c r="L228">
        <v>376</v>
      </c>
      <c r="M228">
        <v>99</v>
      </c>
      <c r="N228">
        <v>99264</v>
      </c>
      <c r="O228" t="s">
        <v>89</v>
      </c>
      <c r="P228" t="s">
        <v>72</v>
      </c>
      <c r="Q228">
        <v>99264</v>
      </c>
      <c r="R228" t="s">
        <v>72</v>
      </c>
      <c r="S228" t="s">
        <v>73</v>
      </c>
      <c r="T228" t="s">
        <v>74</v>
      </c>
      <c r="U228" t="s">
        <v>190</v>
      </c>
      <c r="V228" t="s">
        <v>829</v>
      </c>
      <c r="W228" t="s">
        <v>208</v>
      </c>
      <c r="X228" t="s">
        <v>77</v>
      </c>
      <c r="Y228">
        <v>2004</v>
      </c>
      <c r="Z228" t="s">
        <v>72</v>
      </c>
      <c r="AA228" t="s">
        <v>72</v>
      </c>
      <c r="AB228" t="s">
        <v>72</v>
      </c>
      <c r="AC228" t="s">
        <v>72</v>
      </c>
      <c r="AD228" t="s">
        <v>72</v>
      </c>
      <c r="AE228">
        <v>0</v>
      </c>
      <c r="AF228" t="s">
        <v>148</v>
      </c>
      <c r="AG228" t="s">
        <v>94</v>
      </c>
      <c r="AH228" t="s">
        <v>95</v>
      </c>
      <c r="AI228" t="s">
        <v>210</v>
      </c>
      <c r="AJ228" t="s">
        <v>97</v>
      </c>
      <c r="AK228">
        <v>0</v>
      </c>
      <c r="AL228">
        <v>0</v>
      </c>
      <c r="AM228">
        <v>0</v>
      </c>
      <c r="AN228" t="s">
        <v>336</v>
      </c>
      <c r="AO228" t="s">
        <v>82</v>
      </c>
      <c r="AP228" t="s">
        <v>200</v>
      </c>
      <c r="AQ228" t="s">
        <v>72</v>
      </c>
      <c r="AR228" t="s">
        <v>72</v>
      </c>
      <c r="AS228" t="s">
        <v>72</v>
      </c>
      <c r="AT228" t="s">
        <v>176</v>
      </c>
      <c r="AU228" t="s">
        <v>72</v>
      </c>
      <c r="AV228" t="s">
        <v>72</v>
      </c>
      <c r="AW228" t="s">
        <v>72</v>
      </c>
      <c r="AX228" t="s">
        <v>197</v>
      </c>
      <c r="AY228">
        <v>21.3631001</v>
      </c>
      <c r="AZ228">
        <v>118</v>
      </c>
      <c r="BA228">
        <v>-1.92</v>
      </c>
      <c r="BB228">
        <v>273.19601440000002</v>
      </c>
      <c r="BC228">
        <v>-0.13044900000000001</v>
      </c>
      <c r="BD228">
        <v>0.15524499999999999</v>
      </c>
      <c r="BE228">
        <v>371.65200809999999</v>
      </c>
      <c r="BF228">
        <v>6.4601202000000004</v>
      </c>
      <c r="BG228">
        <v>0.48888900000000002</v>
      </c>
      <c r="BH228">
        <v>2.0083899000000001</v>
      </c>
      <c r="BI228">
        <v>1.0956600000000001</v>
      </c>
      <c r="BJ228">
        <v>115.2440033</v>
      </c>
      <c r="BK228">
        <v>4</v>
      </c>
      <c r="BL228">
        <v>0</v>
      </c>
      <c r="BM228">
        <v>2178.6201172000001</v>
      </c>
      <c r="BN228">
        <v>1441.4599608999999</v>
      </c>
      <c r="BO228">
        <v>94.398696900000004</v>
      </c>
      <c r="BP228">
        <v>383</v>
      </c>
      <c r="BQ228">
        <v>5</v>
      </c>
      <c r="BR228">
        <v>5</v>
      </c>
    </row>
    <row r="229" spans="1:70" x14ac:dyDescent="0.25">
      <c r="A229">
        <v>226</v>
      </c>
      <c r="B229">
        <v>10207</v>
      </c>
      <c r="C229">
        <v>88.478081000000003</v>
      </c>
      <c r="D229">
        <v>27.0029299999999</v>
      </c>
      <c r="E229" t="s">
        <v>830</v>
      </c>
      <c r="F229">
        <v>1</v>
      </c>
      <c r="G229" t="s">
        <v>112</v>
      </c>
      <c r="H229" t="s">
        <v>72</v>
      </c>
      <c r="I229" t="s">
        <v>72</v>
      </c>
      <c r="J229" t="s">
        <v>88</v>
      </c>
      <c r="K229">
        <v>25</v>
      </c>
      <c r="L229">
        <v>20</v>
      </c>
      <c r="M229">
        <v>0</v>
      </c>
      <c r="N229">
        <v>500</v>
      </c>
      <c r="O229" t="s">
        <v>89</v>
      </c>
      <c r="P229" t="s">
        <v>72</v>
      </c>
      <c r="Q229">
        <v>500</v>
      </c>
      <c r="R229" t="s">
        <v>72</v>
      </c>
      <c r="S229" t="s">
        <v>73</v>
      </c>
      <c r="T229" t="s">
        <v>74</v>
      </c>
      <c r="U229" t="s">
        <v>90</v>
      </c>
      <c r="V229" t="s">
        <v>72</v>
      </c>
      <c r="W229" t="s">
        <v>76</v>
      </c>
      <c r="X229" t="s">
        <v>77</v>
      </c>
      <c r="Y229">
        <v>2011</v>
      </c>
      <c r="Z229" t="s">
        <v>72</v>
      </c>
      <c r="AA229" t="s">
        <v>72</v>
      </c>
      <c r="AB229" t="s">
        <v>72</v>
      </c>
      <c r="AC229" t="s">
        <v>72</v>
      </c>
      <c r="AD229" t="s">
        <v>72</v>
      </c>
      <c r="AE229">
        <v>0</v>
      </c>
      <c r="AF229" t="s">
        <v>79</v>
      </c>
      <c r="AG229" t="s">
        <v>94</v>
      </c>
      <c r="AH229" t="s">
        <v>95</v>
      </c>
      <c r="AI229" t="s">
        <v>96</v>
      </c>
      <c r="AJ229" t="s">
        <v>113</v>
      </c>
      <c r="AK229">
        <v>0</v>
      </c>
      <c r="AL229">
        <v>0</v>
      </c>
      <c r="AM229">
        <v>0</v>
      </c>
      <c r="AN229" t="s">
        <v>192</v>
      </c>
      <c r="AO229" t="s">
        <v>82</v>
      </c>
      <c r="AP229" t="s">
        <v>386</v>
      </c>
      <c r="AQ229" t="s">
        <v>72</v>
      </c>
      <c r="AR229" t="s">
        <v>72</v>
      </c>
      <c r="AS229" t="s">
        <v>72</v>
      </c>
      <c r="AT229" t="s">
        <v>831</v>
      </c>
      <c r="AU229" t="s">
        <v>72</v>
      </c>
      <c r="AV229" t="s">
        <v>72</v>
      </c>
      <c r="AW229" t="s">
        <v>72</v>
      </c>
      <c r="AX229" t="s">
        <v>72</v>
      </c>
      <c r="AY229">
        <v>28.434600799999998</v>
      </c>
      <c r="AZ229">
        <v>102</v>
      </c>
      <c r="BA229">
        <v>0.64</v>
      </c>
      <c r="BB229">
        <v>579.98297119999995</v>
      </c>
      <c r="BC229">
        <v>-0.14267199999999999</v>
      </c>
      <c r="BD229">
        <v>0.18707699999999999</v>
      </c>
      <c r="BE229">
        <v>1011.960022</v>
      </c>
      <c r="BF229">
        <v>6.0295500999999998</v>
      </c>
      <c r="BG229">
        <v>0.49206299999999997</v>
      </c>
      <c r="BH229">
        <v>2.2216699000000002</v>
      </c>
      <c r="BI229">
        <v>0.83273799999999998</v>
      </c>
      <c r="BJ229">
        <v>365.93200680000001</v>
      </c>
      <c r="BK229">
        <v>7</v>
      </c>
      <c r="BL229">
        <v>0</v>
      </c>
      <c r="BM229">
        <v>1727.4000243999999</v>
      </c>
      <c r="BN229">
        <v>848.71197510000002</v>
      </c>
      <c r="BO229">
        <v>184.23599239999999</v>
      </c>
      <c r="BP229">
        <v>405</v>
      </c>
      <c r="BQ229">
        <v>5</v>
      </c>
      <c r="BR229">
        <v>7</v>
      </c>
    </row>
    <row r="230" spans="1:70" x14ac:dyDescent="0.25">
      <c r="A230">
        <v>227</v>
      </c>
      <c r="B230">
        <v>12796</v>
      </c>
      <c r="C230">
        <v>88.467168000000001</v>
      </c>
      <c r="D230">
        <v>26.936779999999899</v>
      </c>
      <c r="E230" t="s">
        <v>832</v>
      </c>
      <c r="F230">
        <v>1</v>
      </c>
      <c r="G230" t="s">
        <v>112</v>
      </c>
      <c r="H230" t="s">
        <v>72</v>
      </c>
      <c r="I230" t="s">
        <v>72</v>
      </c>
      <c r="J230" t="s">
        <v>189</v>
      </c>
      <c r="K230">
        <v>185</v>
      </c>
      <c r="L230">
        <v>76</v>
      </c>
      <c r="M230">
        <v>102</v>
      </c>
      <c r="N230">
        <v>14060</v>
      </c>
      <c r="O230" t="s">
        <v>89</v>
      </c>
      <c r="P230" t="s">
        <v>72</v>
      </c>
      <c r="Q230">
        <v>14060</v>
      </c>
      <c r="R230" t="s">
        <v>72</v>
      </c>
      <c r="S230" t="s">
        <v>73</v>
      </c>
      <c r="T230" t="s">
        <v>74</v>
      </c>
      <c r="U230" t="s">
        <v>190</v>
      </c>
      <c r="V230" t="s">
        <v>833</v>
      </c>
      <c r="W230" t="s">
        <v>208</v>
      </c>
      <c r="X230" t="s">
        <v>77</v>
      </c>
      <c r="Y230">
        <v>2004</v>
      </c>
      <c r="Z230" t="s">
        <v>72</v>
      </c>
      <c r="AA230" t="s">
        <v>72</v>
      </c>
      <c r="AB230" t="s">
        <v>72</v>
      </c>
      <c r="AC230" t="s">
        <v>72</v>
      </c>
      <c r="AD230" t="s">
        <v>72</v>
      </c>
      <c r="AE230">
        <v>0</v>
      </c>
      <c r="AF230" t="s">
        <v>148</v>
      </c>
      <c r="AG230" t="s">
        <v>94</v>
      </c>
      <c r="AH230" t="s">
        <v>95</v>
      </c>
      <c r="AI230" t="s">
        <v>96</v>
      </c>
      <c r="AJ230" t="s">
        <v>97</v>
      </c>
      <c r="AK230">
        <v>0</v>
      </c>
      <c r="AL230">
        <v>0</v>
      </c>
      <c r="AM230">
        <v>0</v>
      </c>
      <c r="AN230" t="s">
        <v>336</v>
      </c>
      <c r="AO230" t="s">
        <v>82</v>
      </c>
      <c r="AP230" t="s">
        <v>114</v>
      </c>
      <c r="AQ230" t="s">
        <v>72</v>
      </c>
      <c r="AR230" t="s">
        <v>72</v>
      </c>
      <c r="AS230" t="s">
        <v>72</v>
      </c>
      <c r="AT230" t="s">
        <v>176</v>
      </c>
      <c r="AU230" t="s">
        <v>72</v>
      </c>
      <c r="AV230" t="s">
        <v>72</v>
      </c>
      <c r="AW230" t="s">
        <v>72</v>
      </c>
      <c r="AX230" t="s">
        <v>197</v>
      </c>
      <c r="AY230">
        <v>40.707000700000002</v>
      </c>
      <c r="AZ230">
        <v>30</v>
      </c>
      <c r="BA230">
        <v>3.2</v>
      </c>
      <c r="BB230">
        <v>573.18402100000003</v>
      </c>
      <c r="BC230">
        <v>-0.17669399999999999</v>
      </c>
      <c r="BD230">
        <v>0.20133400000000001</v>
      </c>
      <c r="BE230">
        <v>1737.6800536999999</v>
      </c>
      <c r="BF230">
        <v>2.6761501000000001</v>
      </c>
      <c r="BG230">
        <v>0.48809599999999997</v>
      </c>
      <c r="BH230">
        <v>-7.0570101999999997</v>
      </c>
      <c r="BI230">
        <v>0.196522</v>
      </c>
      <c r="BJ230">
        <v>862.0469971</v>
      </c>
      <c r="BK230">
        <v>4</v>
      </c>
      <c r="BL230">
        <v>0</v>
      </c>
      <c r="BM230">
        <v>5016.6098633000001</v>
      </c>
      <c r="BN230">
        <v>6934.4799805000002</v>
      </c>
      <c r="BO230">
        <v>160.30099490000001</v>
      </c>
      <c r="BP230">
        <v>640</v>
      </c>
      <c r="BQ230">
        <v>7</v>
      </c>
      <c r="BR230">
        <v>3</v>
      </c>
    </row>
    <row r="231" spans="1:70" x14ac:dyDescent="0.25">
      <c r="A231">
        <v>228</v>
      </c>
      <c r="B231">
        <v>12765</v>
      </c>
      <c r="C231">
        <v>88.474879999999899</v>
      </c>
      <c r="D231">
        <v>26.980875999999899</v>
      </c>
      <c r="E231" t="s">
        <v>834</v>
      </c>
      <c r="F231">
        <v>1</v>
      </c>
      <c r="G231" t="s">
        <v>188</v>
      </c>
      <c r="H231" t="s">
        <v>72</v>
      </c>
      <c r="I231" t="s">
        <v>72</v>
      </c>
      <c r="J231" t="s">
        <v>189</v>
      </c>
      <c r="K231">
        <v>392</v>
      </c>
      <c r="L231">
        <v>82</v>
      </c>
      <c r="M231">
        <v>0</v>
      </c>
      <c r="N231">
        <v>32144</v>
      </c>
      <c r="O231" t="s">
        <v>89</v>
      </c>
      <c r="P231" t="s">
        <v>72</v>
      </c>
      <c r="Q231">
        <v>32144</v>
      </c>
      <c r="R231" t="s">
        <v>72</v>
      </c>
      <c r="S231" t="s">
        <v>73</v>
      </c>
      <c r="T231" t="s">
        <v>74</v>
      </c>
      <c r="U231" t="s">
        <v>190</v>
      </c>
      <c r="V231" t="s">
        <v>835</v>
      </c>
      <c r="W231" t="s">
        <v>92</v>
      </c>
      <c r="X231" t="s">
        <v>77</v>
      </c>
      <c r="Y231">
        <v>2014</v>
      </c>
      <c r="Z231" t="s">
        <v>72</v>
      </c>
      <c r="AA231" t="s">
        <v>72</v>
      </c>
      <c r="AB231" t="s">
        <v>72</v>
      </c>
      <c r="AC231" t="s">
        <v>72</v>
      </c>
      <c r="AD231" t="s">
        <v>72</v>
      </c>
      <c r="AE231">
        <v>0</v>
      </c>
      <c r="AF231" t="s">
        <v>79</v>
      </c>
      <c r="AG231" t="s">
        <v>94</v>
      </c>
      <c r="AH231" t="s">
        <v>95</v>
      </c>
      <c r="AI231" t="s">
        <v>96</v>
      </c>
      <c r="AJ231" t="s">
        <v>97</v>
      </c>
      <c r="AK231">
        <v>0</v>
      </c>
      <c r="AL231">
        <v>0</v>
      </c>
      <c r="AM231">
        <v>0</v>
      </c>
      <c r="AN231" t="s">
        <v>336</v>
      </c>
      <c r="AO231" t="s">
        <v>221</v>
      </c>
      <c r="AP231" t="s">
        <v>200</v>
      </c>
      <c r="AQ231" t="s">
        <v>72</v>
      </c>
      <c r="AR231" t="s">
        <v>72</v>
      </c>
      <c r="AS231" t="s">
        <v>72</v>
      </c>
      <c r="AT231" t="s">
        <v>72</v>
      </c>
      <c r="AU231" t="s">
        <v>72</v>
      </c>
      <c r="AV231" t="s">
        <v>390</v>
      </c>
      <c r="AW231" t="s">
        <v>72</v>
      </c>
      <c r="AX231" t="s">
        <v>110</v>
      </c>
      <c r="AY231">
        <v>27.698400500000002</v>
      </c>
      <c r="AZ231">
        <v>76</v>
      </c>
      <c r="BA231">
        <v>-0.64</v>
      </c>
      <c r="BB231">
        <v>347.72698969999999</v>
      </c>
      <c r="BC231">
        <v>-0.242142</v>
      </c>
      <c r="BD231">
        <v>0.29405199999999998</v>
      </c>
      <c r="BE231">
        <v>1391.5999756000001</v>
      </c>
      <c r="BF231">
        <v>5.4444900000000001</v>
      </c>
      <c r="BG231">
        <v>0.50617100000000004</v>
      </c>
      <c r="BH231">
        <v>1.36008</v>
      </c>
      <c r="BI231">
        <v>0.645478</v>
      </c>
      <c r="BJ231">
        <v>237.1710052</v>
      </c>
      <c r="BK231">
        <v>4</v>
      </c>
      <c r="BL231">
        <v>0</v>
      </c>
      <c r="BM231">
        <v>3334.1000976999999</v>
      </c>
      <c r="BN231">
        <v>2762.3601073999998</v>
      </c>
      <c r="BO231">
        <v>130.3650055</v>
      </c>
      <c r="BP231">
        <v>612</v>
      </c>
      <c r="BQ231">
        <v>5</v>
      </c>
      <c r="BR231">
        <v>5</v>
      </c>
    </row>
    <row r="232" spans="1:70" x14ac:dyDescent="0.25">
      <c r="A232">
        <v>229</v>
      </c>
      <c r="B232">
        <v>13045</v>
      </c>
      <c r="C232">
        <v>88.467225999999897</v>
      </c>
      <c r="D232">
        <v>26.9102929999999</v>
      </c>
      <c r="E232" t="s">
        <v>836</v>
      </c>
      <c r="F232">
        <v>1</v>
      </c>
      <c r="G232" t="s">
        <v>490</v>
      </c>
      <c r="H232" t="s">
        <v>72</v>
      </c>
      <c r="I232" t="s">
        <v>72</v>
      </c>
      <c r="J232" t="s">
        <v>189</v>
      </c>
      <c r="K232">
        <v>140</v>
      </c>
      <c r="L232">
        <v>70</v>
      </c>
      <c r="M232">
        <v>70</v>
      </c>
      <c r="N232">
        <v>9800</v>
      </c>
      <c r="O232" t="s">
        <v>89</v>
      </c>
      <c r="P232" t="s">
        <v>72</v>
      </c>
      <c r="Q232">
        <v>9800</v>
      </c>
      <c r="R232" t="s">
        <v>72</v>
      </c>
      <c r="S232" t="s">
        <v>73</v>
      </c>
      <c r="T232" t="s">
        <v>74</v>
      </c>
      <c r="U232" t="s">
        <v>190</v>
      </c>
      <c r="V232" t="s">
        <v>837</v>
      </c>
      <c r="W232" t="s">
        <v>76</v>
      </c>
      <c r="X232" t="s">
        <v>77</v>
      </c>
      <c r="Y232">
        <v>2010</v>
      </c>
      <c r="Z232" t="s">
        <v>72</v>
      </c>
      <c r="AA232" t="s">
        <v>72</v>
      </c>
      <c r="AB232" t="s">
        <v>72</v>
      </c>
      <c r="AC232" t="s">
        <v>72</v>
      </c>
      <c r="AD232" t="s">
        <v>72</v>
      </c>
      <c r="AE232">
        <v>0</v>
      </c>
      <c r="AF232" t="s">
        <v>148</v>
      </c>
      <c r="AG232" t="s">
        <v>94</v>
      </c>
      <c r="AH232" t="s">
        <v>95</v>
      </c>
      <c r="AI232" t="s">
        <v>96</v>
      </c>
      <c r="AJ232" t="s">
        <v>97</v>
      </c>
      <c r="AK232">
        <v>0</v>
      </c>
      <c r="AL232">
        <v>0</v>
      </c>
      <c r="AM232">
        <v>0</v>
      </c>
      <c r="AN232" t="s">
        <v>98</v>
      </c>
      <c r="AO232" t="s">
        <v>221</v>
      </c>
      <c r="AP232" t="s">
        <v>114</v>
      </c>
      <c r="AQ232" t="s">
        <v>72</v>
      </c>
      <c r="AR232" t="s">
        <v>72</v>
      </c>
      <c r="AS232" t="s">
        <v>72</v>
      </c>
      <c r="AT232" t="s">
        <v>72</v>
      </c>
      <c r="AU232" t="s">
        <v>72</v>
      </c>
      <c r="AV232" t="s">
        <v>394</v>
      </c>
      <c r="AW232" t="s">
        <v>72</v>
      </c>
      <c r="AX232" t="s">
        <v>307</v>
      </c>
      <c r="AY232">
        <v>57.572898899999998</v>
      </c>
      <c r="AZ232">
        <v>0</v>
      </c>
      <c r="BA232">
        <v>3.8399999</v>
      </c>
      <c r="BB232">
        <v>416.15899660000002</v>
      </c>
      <c r="BC232">
        <v>-0.18965899999999999</v>
      </c>
      <c r="BD232">
        <v>0.220166</v>
      </c>
      <c r="BE232">
        <v>187.5</v>
      </c>
      <c r="BF232">
        <v>3.1706599999999998</v>
      </c>
      <c r="BG232">
        <v>0.57201599999999997</v>
      </c>
      <c r="BH232">
        <v>1.1479699999999999</v>
      </c>
      <c r="BI232">
        <v>0.88044299999999998</v>
      </c>
      <c r="BJ232">
        <v>452.76901249999997</v>
      </c>
      <c r="BK232">
        <v>4</v>
      </c>
      <c r="BL232">
        <v>0</v>
      </c>
      <c r="BM232">
        <v>6831.2202147999997</v>
      </c>
      <c r="BN232">
        <v>4000.4899902000002</v>
      </c>
      <c r="BO232">
        <v>126.2149963</v>
      </c>
      <c r="BP232">
        <v>353</v>
      </c>
      <c r="BQ232">
        <v>4</v>
      </c>
      <c r="BR232">
        <v>3</v>
      </c>
    </row>
    <row r="233" spans="1:70" x14ac:dyDescent="0.25">
      <c r="A233">
        <v>230</v>
      </c>
      <c r="B233">
        <v>13310</v>
      </c>
      <c r="C233">
        <v>88.468556000000007</v>
      </c>
      <c r="D233">
        <v>26.908556000000001</v>
      </c>
      <c r="E233" t="s">
        <v>838</v>
      </c>
      <c r="F233">
        <v>2</v>
      </c>
      <c r="G233" t="s">
        <v>490</v>
      </c>
      <c r="H233" t="s">
        <v>72</v>
      </c>
      <c r="I233" t="s">
        <v>72</v>
      </c>
      <c r="J233" t="s">
        <v>189</v>
      </c>
      <c r="K233">
        <v>70</v>
      </c>
      <c r="L233">
        <v>120</v>
      </c>
      <c r="M233">
        <v>60</v>
      </c>
      <c r="N233">
        <v>8400</v>
      </c>
      <c r="O233" t="s">
        <v>89</v>
      </c>
      <c r="P233" t="s">
        <v>839</v>
      </c>
      <c r="Q233">
        <v>16800</v>
      </c>
      <c r="R233" t="s">
        <v>72</v>
      </c>
      <c r="S233" t="s">
        <v>73</v>
      </c>
      <c r="T233" t="s">
        <v>74</v>
      </c>
      <c r="U233" t="s">
        <v>190</v>
      </c>
      <c r="V233" t="s">
        <v>840</v>
      </c>
      <c r="W233" t="s">
        <v>159</v>
      </c>
      <c r="X233" t="s">
        <v>77</v>
      </c>
      <c r="Y233">
        <v>2007</v>
      </c>
      <c r="Z233" t="s">
        <v>72</v>
      </c>
      <c r="AA233" t="s">
        <v>72</v>
      </c>
      <c r="AB233" t="s">
        <v>72</v>
      </c>
      <c r="AC233" t="s">
        <v>72</v>
      </c>
      <c r="AD233" t="s">
        <v>93</v>
      </c>
      <c r="AE233">
        <v>0</v>
      </c>
      <c r="AF233" t="s">
        <v>148</v>
      </c>
      <c r="AG233" t="s">
        <v>94</v>
      </c>
      <c r="AH233" t="s">
        <v>95</v>
      </c>
      <c r="AI233" t="s">
        <v>121</v>
      </c>
      <c r="AJ233" t="s">
        <v>97</v>
      </c>
      <c r="AK233">
        <v>2010</v>
      </c>
      <c r="AL233">
        <v>0</v>
      </c>
      <c r="AM233">
        <v>0</v>
      </c>
      <c r="AN233" t="s">
        <v>98</v>
      </c>
      <c r="AO233" t="s">
        <v>82</v>
      </c>
      <c r="AP233" t="s">
        <v>114</v>
      </c>
      <c r="AQ233" t="s">
        <v>72</v>
      </c>
      <c r="AR233" t="s">
        <v>72</v>
      </c>
      <c r="AS233" t="s">
        <v>72</v>
      </c>
      <c r="AT233" t="s">
        <v>72</v>
      </c>
      <c r="AU233" t="s">
        <v>72</v>
      </c>
      <c r="AV233" t="s">
        <v>841</v>
      </c>
      <c r="AW233" t="s">
        <v>72</v>
      </c>
      <c r="AX233" t="s">
        <v>695</v>
      </c>
      <c r="AY233">
        <v>26.565099700000001</v>
      </c>
      <c r="AZ233">
        <v>81</v>
      </c>
      <c r="BA233">
        <v>0</v>
      </c>
      <c r="BB233">
        <v>392.09399409999997</v>
      </c>
      <c r="BC233">
        <v>-0.13298499999999999</v>
      </c>
      <c r="BD233">
        <v>0.18927099999999999</v>
      </c>
      <c r="BE233">
        <v>17.677700000000002</v>
      </c>
      <c r="BF233">
        <v>5.6167698000000001</v>
      </c>
      <c r="BG233">
        <v>0.47058800000000001</v>
      </c>
      <c r="BH233">
        <v>1.61154</v>
      </c>
      <c r="BI233">
        <v>0.84858299999999998</v>
      </c>
      <c r="BJ233">
        <v>312.5</v>
      </c>
      <c r="BK233">
        <v>4</v>
      </c>
      <c r="BL233">
        <v>0</v>
      </c>
      <c r="BM233">
        <v>6782.8100586</v>
      </c>
      <c r="BN233">
        <v>3817.7399902000002</v>
      </c>
      <c r="BO233">
        <v>143.13000489999999</v>
      </c>
      <c r="BP233">
        <v>172</v>
      </c>
      <c r="BQ233">
        <v>4</v>
      </c>
      <c r="BR233">
        <v>3</v>
      </c>
    </row>
    <row r="234" spans="1:70" x14ac:dyDescent="0.25">
      <c r="A234">
        <v>231</v>
      </c>
      <c r="B234">
        <v>12862</v>
      </c>
      <c r="C234">
        <v>88.468999999999895</v>
      </c>
      <c r="D234">
        <v>26.913</v>
      </c>
      <c r="E234" t="s">
        <v>842</v>
      </c>
      <c r="F234">
        <v>1</v>
      </c>
      <c r="G234" t="s">
        <v>102</v>
      </c>
      <c r="H234" t="s">
        <v>72</v>
      </c>
      <c r="I234" t="s">
        <v>72</v>
      </c>
      <c r="J234" t="s">
        <v>189</v>
      </c>
      <c r="K234">
        <v>80</v>
      </c>
      <c r="L234">
        <v>15</v>
      </c>
      <c r="M234">
        <v>0</v>
      </c>
      <c r="N234">
        <v>1200</v>
      </c>
      <c r="O234" t="s">
        <v>89</v>
      </c>
      <c r="P234" t="s">
        <v>72</v>
      </c>
      <c r="Q234">
        <v>1200</v>
      </c>
      <c r="R234" t="s">
        <v>72</v>
      </c>
      <c r="S234" t="s">
        <v>73</v>
      </c>
      <c r="T234" t="s">
        <v>74</v>
      </c>
      <c r="U234" t="s">
        <v>190</v>
      </c>
      <c r="V234" t="s">
        <v>843</v>
      </c>
      <c r="W234" t="s">
        <v>92</v>
      </c>
      <c r="X234" t="s">
        <v>119</v>
      </c>
      <c r="Y234">
        <v>2012</v>
      </c>
      <c r="Z234" t="s">
        <v>72</v>
      </c>
      <c r="AA234" t="s">
        <v>72</v>
      </c>
      <c r="AB234" t="s">
        <v>72</v>
      </c>
      <c r="AC234" t="s">
        <v>72</v>
      </c>
      <c r="AD234" t="s">
        <v>844</v>
      </c>
      <c r="AE234">
        <v>0</v>
      </c>
      <c r="AF234" t="s">
        <v>79</v>
      </c>
      <c r="AG234" t="s">
        <v>128</v>
      </c>
      <c r="AH234" t="s">
        <v>95</v>
      </c>
      <c r="AI234" t="s">
        <v>96</v>
      </c>
      <c r="AJ234" t="s">
        <v>97</v>
      </c>
      <c r="AK234">
        <v>0</v>
      </c>
      <c r="AL234">
        <v>0</v>
      </c>
      <c r="AM234">
        <v>0</v>
      </c>
      <c r="AN234" t="s">
        <v>98</v>
      </c>
      <c r="AO234" t="s">
        <v>82</v>
      </c>
      <c r="AP234" t="s">
        <v>99</v>
      </c>
      <c r="AQ234" t="s">
        <v>72</v>
      </c>
      <c r="AR234" t="s">
        <v>72</v>
      </c>
      <c r="AS234" t="s">
        <v>72</v>
      </c>
      <c r="AT234" t="s">
        <v>176</v>
      </c>
      <c r="AU234" t="s">
        <v>72</v>
      </c>
      <c r="AV234" t="s">
        <v>217</v>
      </c>
      <c r="AW234" t="s">
        <v>72</v>
      </c>
      <c r="AX234" t="s">
        <v>845</v>
      </c>
      <c r="AY234">
        <v>17.874000500000001</v>
      </c>
      <c r="AZ234">
        <v>186</v>
      </c>
      <c r="BA234">
        <v>-0.64</v>
      </c>
      <c r="BB234">
        <v>375.62600709999998</v>
      </c>
      <c r="BC234">
        <v>-0.140376</v>
      </c>
      <c r="BD234">
        <v>0.20887900000000001</v>
      </c>
      <c r="BE234">
        <v>63.737701399999999</v>
      </c>
      <c r="BF234">
        <v>5.5366901999999998</v>
      </c>
      <c r="BG234">
        <v>0.484848</v>
      </c>
      <c r="BH234">
        <v>1.0170701</v>
      </c>
      <c r="BI234">
        <v>0.884575</v>
      </c>
      <c r="BJ234">
        <v>262.5</v>
      </c>
      <c r="BK234">
        <v>4</v>
      </c>
      <c r="BL234">
        <v>0</v>
      </c>
      <c r="BM234">
        <v>6555.1499022999997</v>
      </c>
      <c r="BN234">
        <v>4306.5498047000001</v>
      </c>
      <c r="BO234">
        <v>29.744899700000001</v>
      </c>
      <c r="BP234">
        <v>197</v>
      </c>
      <c r="BQ234">
        <v>4</v>
      </c>
      <c r="BR234">
        <v>3</v>
      </c>
    </row>
    <row r="235" spans="1:70" x14ac:dyDescent="0.25">
      <c r="A235">
        <v>232</v>
      </c>
      <c r="B235">
        <v>13046</v>
      </c>
      <c r="C235">
        <v>88.468958000000001</v>
      </c>
      <c r="D235">
        <v>26.9077559999999</v>
      </c>
      <c r="E235" t="s">
        <v>846</v>
      </c>
      <c r="F235">
        <v>1</v>
      </c>
      <c r="G235" t="s">
        <v>102</v>
      </c>
      <c r="H235" t="s">
        <v>72</v>
      </c>
      <c r="I235" t="s">
        <v>72</v>
      </c>
      <c r="J235" t="s">
        <v>189</v>
      </c>
      <c r="K235">
        <v>100</v>
      </c>
      <c r="L235">
        <v>20</v>
      </c>
      <c r="M235">
        <v>90</v>
      </c>
      <c r="N235">
        <v>2000</v>
      </c>
      <c r="O235" t="s">
        <v>89</v>
      </c>
      <c r="P235" t="s">
        <v>72</v>
      </c>
      <c r="Q235">
        <v>2000</v>
      </c>
      <c r="R235" t="s">
        <v>72</v>
      </c>
      <c r="S235" t="s">
        <v>73</v>
      </c>
      <c r="T235" t="s">
        <v>74</v>
      </c>
      <c r="U235" t="s">
        <v>190</v>
      </c>
      <c r="V235" t="s">
        <v>847</v>
      </c>
      <c r="W235" t="s">
        <v>76</v>
      </c>
      <c r="X235" t="s">
        <v>77</v>
      </c>
      <c r="Y235">
        <v>2010</v>
      </c>
      <c r="Z235" t="s">
        <v>72</v>
      </c>
      <c r="AA235" t="s">
        <v>72</v>
      </c>
      <c r="AB235" t="s">
        <v>72</v>
      </c>
      <c r="AC235" t="s">
        <v>72</v>
      </c>
      <c r="AD235" t="s">
        <v>72</v>
      </c>
      <c r="AE235">
        <v>0</v>
      </c>
      <c r="AF235" t="s">
        <v>79</v>
      </c>
      <c r="AG235" t="s">
        <v>94</v>
      </c>
      <c r="AH235" t="s">
        <v>95</v>
      </c>
      <c r="AI235" t="s">
        <v>96</v>
      </c>
      <c r="AJ235" t="s">
        <v>97</v>
      </c>
      <c r="AK235">
        <v>0</v>
      </c>
      <c r="AL235">
        <v>0</v>
      </c>
      <c r="AM235">
        <v>0</v>
      </c>
      <c r="AN235" t="s">
        <v>98</v>
      </c>
      <c r="AO235" t="s">
        <v>82</v>
      </c>
      <c r="AP235" t="s">
        <v>99</v>
      </c>
      <c r="AQ235" t="s">
        <v>72</v>
      </c>
      <c r="AR235" t="s">
        <v>72</v>
      </c>
      <c r="AS235" t="s">
        <v>72</v>
      </c>
      <c r="AT235" t="s">
        <v>72</v>
      </c>
      <c r="AU235" t="s">
        <v>72</v>
      </c>
      <c r="AV235" t="s">
        <v>217</v>
      </c>
      <c r="AW235" t="s">
        <v>72</v>
      </c>
      <c r="AX235" t="s">
        <v>848</v>
      </c>
      <c r="AY235">
        <v>32.011200000000002</v>
      </c>
      <c r="AZ235">
        <v>228</v>
      </c>
      <c r="BA235">
        <v>-2.5599999000000002</v>
      </c>
      <c r="BB235">
        <v>428.26098630000001</v>
      </c>
      <c r="BC235">
        <v>-0.10631</v>
      </c>
      <c r="BD235">
        <v>0.17503199999999999</v>
      </c>
      <c r="BE235">
        <v>62.5</v>
      </c>
      <c r="BF235">
        <v>5.1927298999999998</v>
      </c>
      <c r="BG235">
        <v>0.52287600000000001</v>
      </c>
      <c r="BH235">
        <v>1.6113900000000001</v>
      </c>
      <c r="BI235">
        <v>0.82866399999999996</v>
      </c>
      <c r="BJ235">
        <v>275</v>
      </c>
      <c r="BK235">
        <v>4</v>
      </c>
      <c r="BL235">
        <v>0</v>
      </c>
      <c r="BM235">
        <v>6786.7998047000001</v>
      </c>
      <c r="BN235">
        <v>3732.5600586</v>
      </c>
      <c r="BO235">
        <v>352.64801030000001</v>
      </c>
      <c r="BP235">
        <v>196</v>
      </c>
      <c r="BQ235">
        <v>4</v>
      </c>
      <c r="BR235">
        <v>3</v>
      </c>
    </row>
    <row r="236" spans="1:70" x14ac:dyDescent="0.25">
      <c r="A236">
        <v>233</v>
      </c>
      <c r="B236">
        <v>12621</v>
      </c>
      <c r="C236">
        <v>88.470518999999896</v>
      </c>
      <c r="D236">
        <v>26.904496000000002</v>
      </c>
      <c r="E236" t="s">
        <v>849</v>
      </c>
      <c r="F236">
        <v>1</v>
      </c>
      <c r="G236" t="s">
        <v>490</v>
      </c>
      <c r="H236" t="s">
        <v>72</v>
      </c>
      <c r="I236" t="s">
        <v>72</v>
      </c>
      <c r="J236" t="s">
        <v>189</v>
      </c>
      <c r="K236">
        <v>135</v>
      </c>
      <c r="L236">
        <v>40</v>
      </c>
      <c r="M236">
        <v>0</v>
      </c>
      <c r="N236">
        <v>5400</v>
      </c>
      <c r="O236" t="s">
        <v>89</v>
      </c>
      <c r="P236" t="s">
        <v>72</v>
      </c>
      <c r="Q236">
        <v>5400</v>
      </c>
      <c r="R236" t="s">
        <v>72</v>
      </c>
      <c r="S236" t="s">
        <v>73</v>
      </c>
      <c r="T236" t="s">
        <v>74</v>
      </c>
      <c r="U236" t="s">
        <v>190</v>
      </c>
      <c r="V236" t="s">
        <v>415</v>
      </c>
      <c r="W236" t="s">
        <v>92</v>
      </c>
      <c r="X236" t="s">
        <v>77</v>
      </c>
      <c r="Y236">
        <v>2014</v>
      </c>
      <c r="Z236" t="s">
        <v>72</v>
      </c>
      <c r="AA236" t="s">
        <v>72</v>
      </c>
      <c r="AB236" t="s">
        <v>72</v>
      </c>
      <c r="AC236" t="s">
        <v>72</v>
      </c>
      <c r="AD236" t="s">
        <v>72</v>
      </c>
      <c r="AE236">
        <v>0</v>
      </c>
      <c r="AF236" t="s">
        <v>148</v>
      </c>
      <c r="AG236" t="s">
        <v>94</v>
      </c>
      <c r="AH236" t="s">
        <v>95</v>
      </c>
      <c r="AI236" t="s">
        <v>96</v>
      </c>
      <c r="AJ236" t="s">
        <v>97</v>
      </c>
      <c r="AK236">
        <v>0</v>
      </c>
      <c r="AL236">
        <v>0</v>
      </c>
      <c r="AM236">
        <v>0</v>
      </c>
      <c r="AN236" t="s">
        <v>98</v>
      </c>
      <c r="AO236" t="s">
        <v>82</v>
      </c>
      <c r="AP236" t="s">
        <v>386</v>
      </c>
      <c r="AQ236" t="s">
        <v>72</v>
      </c>
      <c r="AR236" t="s">
        <v>72</v>
      </c>
      <c r="AS236" t="s">
        <v>72</v>
      </c>
      <c r="AT236" t="s">
        <v>72</v>
      </c>
      <c r="AU236" t="s">
        <v>72</v>
      </c>
      <c r="AV236" t="s">
        <v>529</v>
      </c>
      <c r="AW236" t="s">
        <v>72</v>
      </c>
      <c r="AX236" t="s">
        <v>363</v>
      </c>
      <c r="AY236">
        <v>63.087299299999998</v>
      </c>
      <c r="AZ236">
        <v>0</v>
      </c>
      <c r="BA236">
        <v>-3.8399999</v>
      </c>
      <c r="BB236">
        <v>496.24798579999998</v>
      </c>
      <c r="BC236">
        <v>-0.16687399999999999</v>
      </c>
      <c r="BD236">
        <v>0.19672000000000001</v>
      </c>
      <c r="BE236">
        <v>125</v>
      </c>
      <c r="BF236">
        <v>5.5365601</v>
      </c>
      <c r="BG236">
        <v>0.47023799999999999</v>
      </c>
      <c r="BH236">
        <v>4.3421402000000002</v>
      </c>
      <c r="BI236">
        <v>0.62795699999999999</v>
      </c>
      <c r="BJ236">
        <v>175</v>
      </c>
      <c r="BK236">
        <v>4</v>
      </c>
      <c r="BL236">
        <v>0</v>
      </c>
      <c r="BM236">
        <v>6811.2299805000002</v>
      </c>
      <c r="BN236">
        <v>3375.3701172000001</v>
      </c>
      <c r="BO236">
        <v>90.290801999999999</v>
      </c>
      <c r="BP236">
        <v>256</v>
      </c>
      <c r="BQ236">
        <v>4</v>
      </c>
      <c r="BR236">
        <v>3</v>
      </c>
    </row>
    <row r="237" spans="1:70" x14ac:dyDescent="0.25">
      <c r="A237">
        <v>234</v>
      </c>
      <c r="B237">
        <v>13047</v>
      </c>
      <c r="C237">
        <v>88.470849999999899</v>
      </c>
      <c r="D237">
        <v>26.901453</v>
      </c>
      <c r="E237" t="s">
        <v>850</v>
      </c>
      <c r="F237">
        <v>1</v>
      </c>
      <c r="G237" t="s">
        <v>102</v>
      </c>
      <c r="H237" t="s">
        <v>72</v>
      </c>
      <c r="I237" t="s">
        <v>72</v>
      </c>
      <c r="J237" t="s">
        <v>189</v>
      </c>
      <c r="K237">
        <v>130</v>
      </c>
      <c r="L237">
        <v>30</v>
      </c>
      <c r="M237">
        <v>110</v>
      </c>
      <c r="N237">
        <v>3900</v>
      </c>
      <c r="O237" t="s">
        <v>89</v>
      </c>
      <c r="P237" t="s">
        <v>72</v>
      </c>
      <c r="Q237">
        <v>3900</v>
      </c>
      <c r="R237" t="s">
        <v>72</v>
      </c>
      <c r="S237" t="s">
        <v>73</v>
      </c>
      <c r="T237" t="s">
        <v>74</v>
      </c>
      <c r="U237" t="s">
        <v>190</v>
      </c>
      <c r="V237" t="s">
        <v>851</v>
      </c>
      <c r="W237" t="s">
        <v>76</v>
      </c>
      <c r="X237" t="s">
        <v>77</v>
      </c>
      <c r="Y237">
        <v>2010</v>
      </c>
      <c r="Z237" t="s">
        <v>72</v>
      </c>
      <c r="AA237" t="s">
        <v>72</v>
      </c>
      <c r="AB237" t="s">
        <v>72</v>
      </c>
      <c r="AC237" t="s">
        <v>72</v>
      </c>
      <c r="AD237" t="s">
        <v>72</v>
      </c>
      <c r="AE237">
        <v>0</v>
      </c>
      <c r="AF237" t="s">
        <v>79</v>
      </c>
      <c r="AG237" t="s">
        <v>94</v>
      </c>
      <c r="AH237" t="s">
        <v>95</v>
      </c>
      <c r="AI237" t="s">
        <v>96</v>
      </c>
      <c r="AJ237" t="s">
        <v>97</v>
      </c>
      <c r="AK237">
        <v>0</v>
      </c>
      <c r="AL237">
        <v>0</v>
      </c>
      <c r="AM237">
        <v>0</v>
      </c>
      <c r="AN237" t="s">
        <v>98</v>
      </c>
      <c r="AO237" t="s">
        <v>82</v>
      </c>
      <c r="AP237" t="s">
        <v>114</v>
      </c>
      <c r="AQ237" t="s">
        <v>72</v>
      </c>
      <c r="AR237" t="s">
        <v>72</v>
      </c>
      <c r="AS237" t="s">
        <v>72</v>
      </c>
      <c r="AT237" t="s">
        <v>72</v>
      </c>
      <c r="AU237" t="s">
        <v>72</v>
      </c>
      <c r="AV237" t="s">
        <v>217</v>
      </c>
      <c r="AW237" t="s">
        <v>72</v>
      </c>
      <c r="AX237" t="s">
        <v>488</v>
      </c>
      <c r="AY237">
        <v>33.521301299999998</v>
      </c>
      <c r="AZ237">
        <v>54</v>
      </c>
      <c r="BA237">
        <v>-3.8399999</v>
      </c>
      <c r="BB237">
        <v>519.68499759999997</v>
      </c>
      <c r="BC237">
        <v>-0.17114399999999999</v>
      </c>
      <c r="BD237">
        <v>0.209949</v>
      </c>
      <c r="BE237">
        <v>62.5</v>
      </c>
      <c r="BF237">
        <v>6.2697902000000001</v>
      </c>
      <c r="BG237">
        <v>0.31624000000000002</v>
      </c>
      <c r="BH237">
        <v>2.8855300000000002</v>
      </c>
      <c r="BI237">
        <v>0.53041700000000003</v>
      </c>
      <c r="BJ237">
        <v>300</v>
      </c>
      <c r="BK237">
        <v>4</v>
      </c>
      <c r="BL237">
        <v>0</v>
      </c>
      <c r="BM237">
        <v>6950.9399414</v>
      </c>
      <c r="BN237">
        <v>3038.7600097999998</v>
      </c>
      <c r="BO237">
        <v>151.11300660000001</v>
      </c>
      <c r="BP237">
        <v>184</v>
      </c>
      <c r="BQ237">
        <v>4</v>
      </c>
      <c r="BR237">
        <v>3</v>
      </c>
    </row>
    <row r="238" spans="1:70" x14ac:dyDescent="0.25">
      <c r="A238">
        <v>235</v>
      </c>
      <c r="B238">
        <v>12872</v>
      </c>
      <c r="C238">
        <v>88.471328</v>
      </c>
      <c r="D238">
        <v>26.905912000000001</v>
      </c>
      <c r="E238" t="s">
        <v>852</v>
      </c>
      <c r="F238">
        <v>1</v>
      </c>
      <c r="G238" t="s">
        <v>490</v>
      </c>
      <c r="H238" t="s">
        <v>72</v>
      </c>
      <c r="I238" t="s">
        <v>72</v>
      </c>
      <c r="J238" t="s">
        <v>189</v>
      </c>
      <c r="K238">
        <v>71</v>
      </c>
      <c r="L238">
        <v>51</v>
      </c>
      <c r="M238">
        <v>0</v>
      </c>
      <c r="N238">
        <v>3621</v>
      </c>
      <c r="O238" t="s">
        <v>89</v>
      </c>
      <c r="P238" t="s">
        <v>72</v>
      </c>
      <c r="Q238">
        <v>3621</v>
      </c>
      <c r="R238" t="s">
        <v>72</v>
      </c>
      <c r="S238" t="s">
        <v>73</v>
      </c>
      <c r="T238" t="s">
        <v>74</v>
      </c>
      <c r="U238" t="s">
        <v>190</v>
      </c>
      <c r="V238" t="s">
        <v>415</v>
      </c>
      <c r="W238" t="s">
        <v>92</v>
      </c>
      <c r="X238" t="s">
        <v>77</v>
      </c>
      <c r="Y238">
        <v>2014</v>
      </c>
      <c r="Z238" t="s">
        <v>72</v>
      </c>
      <c r="AA238" t="s">
        <v>72</v>
      </c>
      <c r="AB238" t="s">
        <v>72</v>
      </c>
      <c r="AC238" t="s">
        <v>72</v>
      </c>
      <c r="AD238" t="s">
        <v>72</v>
      </c>
      <c r="AE238">
        <v>0</v>
      </c>
      <c r="AF238" t="s">
        <v>148</v>
      </c>
      <c r="AG238" t="s">
        <v>94</v>
      </c>
      <c r="AH238" t="s">
        <v>95</v>
      </c>
      <c r="AI238" t="s">
        <v>96</v>
      </c>
      <c r="AJ238" t="s">
        <v>97</v>
      </c>
      <c r="AK238">
        <v>0</v>
      </c>
      <c r="AL238">
        <v>0</v>
      </c>
      <c r="AM238">
        <v>0</v>
      </c>
      <c r="AN238" t="s">
        <v>134</v>
      </c>
      <c r="AO238" t="s">
        <v>82</v>
      </c>
      <c r="AP238" t="s">
        <v>386</v>
      </c>
      <c r="AQ238" t="s">
        <v>72</v>
      </c>
      <c r="AR238" t="s">
        <v>72</v>
      </c>
      <c r="AS238" t="s">
        <v>72</v>
      </c>
      <c r="AT238" t="s">
        <v>72</v>
      </c>
      <c r="AU238" t="s">
        <v>72</v>
      </c>
      <c r="AV238" t="s">
        <v>529</v>
      </c>
      <c r="AW238" t="s">
        <v>72</v>
      </c>
      <c r="AX238" t="s">
        <v>853</v>
      </c>
      <c r="AY238">
        <v>51.539798699999999</v>
      </c>
      <c r="AZ238">
        <v>1</v>
      </c>
      <c r="BA238">
        <v>3.8399999</v>
      </c>
      <c r="BB238">
        <v>456.375</v>
      </c>
      <c r="BC238">
        <v>-0.181837</v>
      </c>
      <c r="BD238">
        <v>0.236956</v>
      </c>
      <c r="BE238">
        <v>50</v>
      </c>
      <c r="BF238">
        <v>3.9048699999999998</v>
      </c>
      <c r="BG238">
        <v>0.48039199999999999</v>
      </c>
      <c r="BH238">
        <v>1.6176299999999999</v>
      </c>
      <c r="BI238">
        <v>0.66154500000000005</v>
      </c>
      <c r="BJ238">
        <v>100</v>
      </c>
      <c r="BK238">
        <v>4</v>
      </c>
      <c r="BL238">
        <v>0</v>
      </c>
      <c r="BM238">
        <v>6667.0498047000001</v>
      </c>
      <c r="BN238">
        <v>3539.7099609000002</v>
      </c>
      <c r="BO238">
        <v>96.842796300000003</v>
      </c>
      <c r="BP238">
        <v>222</v>
      </c>
      <c r="BQ238">
        <v>4</v>
      </c>
      <c r="BR238">
        <v>3</v>
      </c>
    </row>
    <row r="239" spans="1:70" x14ac:dyDescent="0.25">
      <c r="A239">
        <v>236</v>
      </c>
      <c r="B239">
        <v>13050</v>
      </c>
      <c r="C239">
        <v>88.471666999999897</v>
      </c>
      <c r="D239">
        <v>26.906278</v>
      </c>
      <c r="E239" t="s">
        <v>854</v>
      </c>
      <c r="F239">
        <v>3</v>
      </c>
      <c r="G239" t="s">
        <v>490</v>
      </c>
      <c r="H239" t="s">
        <v>72</v>
      </c>
      <c r="I239" t="s">
        <v>72</v>
      </c>
      <c r="J239" t="s">
        <v>189</v>
      </c>
      <c r="K239">
        <v>55</v>
      </c>
      <c r="L239">
        <v>30</v>
      </c>
      <c r="M239">
        <v>40</v>
      </c>
      <c r="N239">
        <v>1650</v>
      </c>
      <c r="O239" t="s">
        <v>89</v>
      </c>
      <c r="P239" t="s">
        <v>72</v>
      </c>
      <c r="Q239">
        <v>4950</v>
      </c>
      <c r="R239" t="s">
        <v>72</v>
      </c>
      <c r="S239" t="s">
        <v>73</v>
      </c>
      <c r="T239" t="s">
        <v>74</v>
      </c>
      <c r="U239" t="s">
        <v>190</v>
      </c>
      <c r="V239" t="s">
        <v>855</v>
      </c>
      <c r="W239" t="s">
        <v>159</v>
      </c>
      <c r="X239" t="s">
        <v>77</v>
      </c>
      <c r="Y239">
        <v>2010</v>
      </c>
      <c r="Z239" t="s">
        <v>72</v>
      </c>
      <c r="AA239" t="s">
        <v>72</v>
      </c>
      <c r="AB239" t="s">
        <v>72</v>
      </c>
      <c r="AC239" t="s">
        <v>72</v>
      </c>
      <c r="AD239" t="s">
        <v>93</v>
      </c>
      <c r="AE239">
        <v>0</v>
      </c>
      <c r="AF239" t="s">
        <v>148</v>
      </c>
      <c r="AG239" t="s">
        <v>94</v>
      </c>
      <c r="AH239" t="s">
        <v>95</v>
      </c>
      <c r="AI239" t="s">
        <v>96</v>
      </c>
      <c r="AJ239" t="s">
        <v>97</v>
      </c>
      <c r="AK239">
        <v>0</v>
      </c>
      <c r="AL239">
        <v>0</v>
      </c>
      <c r="AM239">
        <v>0</v>
      </c>
      <c r="AN239" t="s">
        <v>98</v>
      </c>
      <c r="AO239" t="s">
        <v>82</v>
      </c>
      <c r="AP239" t="s">
        <v>386</v>
      </c>
      <c r="AQ239" t="s">
        <v>72</v>
      </c>
      <c r="AR239" t="s">
        <v>72</v>
      </c>
      <c r="AS239" t="s">
        <v>72</v>
      </c>
      <c r="AT239" t="s">
        <v>72</v>
      </c>
      <c r="AU239" t="s">
        <v>72</v>
      </c>
      <c r="AV239" t="s">
        <v>72</v>
      </c>
      <c r="AW239" t="s">
        <v>72</v>
      </c>
      <c r="AX239" t="s">
        <v>103</v>
      </c>
      <c r="AY239">
        <v>45.162399299999997</v>
      </c>
      <c r="AZ239">
        <v>71</v>
      </c>
      <c r="BA239">
        <v>0</v>
      </c>
      <c r="BB239">
        <v>452.88800049999998</v>
      </c>
      <c r="BC239">
        <v>-0.17429500000000001</v>
      </c>
      <c r="BD239">
        <v>0.22941600000000001</v>
      </c>
      <c r="BE239">
        <v>0</v>
      </c>
      <c r="BF239">
        <v>4.1294998999999999</v>
      </c>
      <c r="BG239">
        <v>0.50347200000000003</v>
      </c>
      <c r="BH239">
        <v>1.3932100999999999</v>
      </c>
      <c r="BI239">
        <v>0.67267100000000002</v>
      </c>
      <c r="BJ239">
        <v>62.5</v>
      </c>
      <c r="BK239">
        <v>4</v>
      </c>
      <c r="BL239">
        <v>0</v>
      </c>
      <c r="BM239">
        <v>6616.2299805000002</v>
      </c>
      <c r="BN239">
        <v>3578.6899414</v>
      </c>
      <c r="BO239">
        <v>70.844398499999997</v>
      </c>
      <c r="BP239">
        <v>171</v>
      </c>
      <c r="BQ239">
        <v>4</v>
      </c>
      <c r="BR239">
        <v>3</v>
      </c>
    </row>
    <row r="240" spans="1:70" x14ac:dyDescent="0.25">
      <c r="A240">
        <v>237</v>
      </c>
      <c r="B240">
        <v>13014</v>
      </c>
      <c r="C240">
        <v>88.471722</v>
      </c>
      <c r="D240">
        <v>26.904444000000002</v>
      </c>
      <c r="E240" t="s">
        <v>856</v>
      </c>
      <c r="F240">
        <v>2</v>
      </c>
      <c r="G240" t="s">
        <v>490</v>
      </c>
      <c r="H240" t="s">
        <v>72</v>
      </c>
      <c r="I240" t="s">
        <v>72</v>
      </c>
      <c r="J240" t="s">
        <v>189</v>
      </c>
      <c r="K240">
        <v>65</v>
      </c>
      <c r="L240">
        <v>15</v>
      </c>
      <c r="M240">
        <v>50</v>
      </c>
      <c r="N240">
        <v>975</v>
      </c>
      <c r="O240" t="s">
        <v>89</v>
      </c>
      <c r="P240" t="s">
        <v>72</v>
      </c>
      <c r="Q240">
        <v>1950</v>
      </c>
      <c r="R240" t="s">
        <v>72</v>
      </c>
      <c r="S240" t="s">
        <v>73</v>
      </c>
      <c r="T240" t="s">
        <v>74</v>
      </c>
      <c r="U240" t="s">
        <v>190</v>
      </c>
      <c r="V240" t="s">
        <v>857</v>
      </c>
      <c r="W240" t="s">
        <v>159</v>
      </c>
      <c r="X240" t="s">
        <v>77</v>
      </c>
      <c r="Y240">
        <v>2003</v>
      </c>
      <c r="Z240" t="s">
        <v>72</v>
      </c>
      <c r="AA240" t="s">
        <v>72</v>
      </c>
      <c r="AB240" t="s">
        <v>72</v>
      </c>
      <c r="AC240" t="s">
        <v>72</v>
      </c>
      <c r="AD240" t="s">
        <v>93</v>
      </c>
      <c r="AE240">
        <v>0</v>
      </c>
      <c r="AF240" t="s">
        <v>148</v>
      </c>
      <c r="AG240" t="s">
        <v>94</v>
      </c>
      <c r="AH240" t="s">
        <v>95</v>
      </c>
      <c r="AI240" t="s">
        <v>96</v>
      </c>
      <c r="AJ240" t="s">
        <v>97</v>
      </c>
      <c r="AK240">
        <v>2010</v>
      </c>
      <c r="AL240">
        <v>0</v>
      </c>
      <c r="AM240">
        <v>0</v>
      </c>
      <c r="AN240" t="s">
        <v>134</v>
      </c>
      <c r="AO240" t="s">
        <v>82</v>
      </c>
      <c r="AP240" t="s">
        <v>386</v>
      </c>
      <c r="AQ240" t="s">
        <v>72</v>
      </c>
      <c r="AR240" t="s">
        <v>72</v>
      </c>
      <c r="AS240" t="s">
        <v>72</v>
      </c>
      <c r="AT240" t="s">
        <v>858</v>
      </c>
      <c r="AU240" t="s">
        <v>72</v>
      </c>
      <c r="AV240" t="s">
        <v>72</v>
      </c>
      <c r="AW240" t="s">
        <v>72</v>
      </c>
      <c r="AX240" t="s">
        <v>812</v>
      </c>
      <c r="AY240">
        <v>29.8003006</v>
      </c>
      <c r="AZ240">
        <v>107</v>
      </c>
      <c r="BA240">
        <v>0.64</v>
      </c>
      <c r="BB240">
        <v>495.10800169999999</v>
      </c>
      <c r="BC240">
        <v>-0.16376299999999999</v>
      </c>
      <c r="BD240">
        <v>0.22243599999999999</v>
      </c>
      <c r="BE240">
        <v>12.5</v>
      </c>
      <c r="BF240">
        <v>7.7178301999999999</v>
      </c>
      <c r="BG240">
        <v>0.58169899999999997</v>
      </c>
      <c r="BH240">
        <v>4.0693598</v>
      </c>
      <c r="BI240">
        <v>0.63340600000000002</v>
      </c>
      <c r="BJ240">
        <v>62.5</v>
      </c>
      <c r="BK240">
        <v>4</v>
      </c>
      <c r="BL240">
        <v>0</v>
      </c>
      <c r="BM240">
        <v>6713.3798827999999</v>
      </c>
      <c r="BN240">
        <v>3378.9099120999999</v>
      </c>
      <c r="BO240">
        <v>77.905197099999995</v>
      </c>
      <c r="BP240">
        <v>173</v>
      </c>
      <c r="BQ240">
        <v>4</v>
      </c>
      <c r="BR240">
        <v>3</v>
      </c>
    </row>
    <row r="241" spans="1:70" x14ac:dyDescent="0.25">
      <c r="A241">
        <v>238</v>
      </c>
      <c r="B241">
        <v>13013</v>
      </c>
      <c r="C241">
        <v>88.471666999999897</v>
      </c>
      <c r="D241">
        <v>26.901222000000001</v>
      </c>
      <c r="E241" t="s">
        <v>859</v>
      </c>
      <c r="F241">
        <v>3</v>
      </c>
      <c r="G241" t="s">
        <v>490</v>
      </c>
      <c r="H241" t="s">
        <v>72</v>
      </c>
      <c r="I241" t="s">
        <v>72</v>
      </c>
      <c r="J241" t="s">
        <v>189</v>
      </c>
      <c r="K241">
        <v>42</v>
      </c>
      <c r="L241">
        <v>25</v>
      </c>
      <c r="M241">
        <v>35</v>
      </c>
      <c r="N241">
        <v>1050</v>
      </c>
      <c r="O241" t="s">
        <v>89</v>
      </c>
      <c r="P241" t="s">
        <v>72</v>
      </c>
      <c r="Q241">
        <v>3150</v>
      </c>
      <c r="R241" t="s">
        <v>72</v>
      </c>
      <c r="S241" t="s">
        <v>73</v>
      </c>
      <c r="T241" t="s">
        <v>74</v>
      </c>
      <c r="U241" t="s">
        <v>190</v>
      </c>
      <c r="V241" t="s">
        <v>860</v>
      </c>
      <c r="W241" t="s">
        <v>159</v>
      </c>
      <c r="X241" t="s">
        <v>77</v>
      </c>
      <c r="Y241">
        <v>2003</v>
      </c>
      <c r="Z241" t="s">
        <v>72</v>
      </c>
      <c r="AA241" t="s">
        <v>72</v>
      </c>
      <c r="AB241" t="s">
        <v>72</v>
      </c>
      <c r="AC241" t="s">
        <v>72</v>
      </c>
      <c r="AD241" t="s">
        <v>93</v>
      </c>
      <c r="AE241">
        <v>0</v>
      </c>
      <c r="AF241" t="s">
        <v>148</v>
      </c>
      <c r="AG241" t="s">
        <v>94</v>
      </c>
      <c r="AH241" t="s">
        <v>95</v>
      </c>
      <c r="AI241" t="s">
        <v>96</v>
      </c>
      <c r="AJ241" t="s">
        <v>97</v>
      </c>
      <c r="AK241">
        <v>0</v>
      </c>
      <c r="AL241">
        <v>0</v>
      </c>
      <c r="AM241">
        <v>0</v>
      </c>
      <c r="AN241" t="s">
        <v>98</v>
      </c>
      <c r="AO241" t="s">
        <v>82</v>
      </c>
      <c r="AP241" t="s">
        <v>114</v>
      </c>
      <c r="AQ241" t="s">
        <v>72</v>
      </c>
      <c r="AR241" t="s">
        <v>72</v>
      </c>
      <c r="AS241" t="s">
        <v>72</v>
      </c>
      <c r="AT241" t="s">
        <v>176</v>
      </c>
      <c r="AU241" t="s">
        <v>72</v>
      </c>
      <c r="AV241" t="s">
        <v>72</v>
      </c>
      <c r="AW241" t="s">
        <v>72</v>
      </c>
      <c r="AX241" t="s">
        <v>259</v>
      </c>
      <c r="AY241">
        <v>40.070201900000001</v>
      </c>
      <c r="AZ241">
        <v>26</v>
      </c>
      <c r="BA241">
        <v>-0.64</v>
      </c>
      <c r="BB241">
        <v>519.7069702</v>
      </c>
      <c r="BC241">
        <v>-0.129192</v>
      </c>
      <c r="BD241">
        <v>0.18524099999999999</v>
      </c>
      <c r="BE241">
        <v>12.5</v>
      </c>
      <c r="BF241">
        <v>5.9175401000000001</v>
      </c>
      <c r="BG241">
        <v>0.48412699999999997</v>
      </c>
      <c r="BH241">
        <v>3.0063499999999999</v>
      </c>
      <c r="BI241">
        <v>0.53021799999999997</v>
      </c>
      <c r="BJ241">
        <v>221.50100710000001</v>
      </c>
      <c r="BK241">
        <v>4</v>
      </c>
      <c r="BL241">
        <v>0</v>
      </c>
      <c r="BM241">
        <v>6900.7700194999998</v>
      </c>
      <c r="BN241">
        <v>3016.8798827999999</v>
      </c>
      <c r="BO241">
        <v>118.3929977</v>
      </c>
      <c r="BP241">
        <v>153</v>
      </c>
      <c r="BQ241">
        <v>4</v>
      </c>
      <c r="BR241">
        <v>3</v>
      </c>
    </row>
    <row r="242" spans="1:70" x14ac:dyDescent="0.25">
      <c r="A242">
        <v>239</v>
      </c>
      <c r="B242">
        <v>13049</v>
      </c>
      <c r="C242">
        <v>88.471329999999895</v>
      </c>
      <c r="D242">
        <v>26.892202999999899</v>
      </c>
      <c r="E242" t="s">
        <v>861</v>
      </c>
      <c r="F242">
        <v>1</v>
      </c>
      <c r="G242" t="s">
        <v>102</v>
      </c>
      <c r="H242" t="s">
        <v>72</v>
      </c>
      <c r="I242" t="s">
        <v>72</v>
      </c>
      <c r="J242" t="s">
        <v>189</v>
      </c>
      <c r="K242">
        <v>300</v>
      </c>
      <c r="L242">
        <v>110</v>
      </c>
      <c r="M242">
        <v>175</v>
      </c>
      <c r="N242">
        <v>33000</v>
      </c>
      <c r="O242" t="s">
        <v>89</v>
      </c>
      <c r="P242" t="s">
        <v>862</v>
      </c>
      <c r="Q242">
        <v>33000</v>
      </c>
      <c r="R242" t="s">
        <v>72</v>
      </c>
      <c r="S242" t="s">
        <v>73</v>
      </c>
      <c r="T242" t="s">
        <v>74</v>
      </c>
      <c r="U242" t="s">
        <v>190</v>
      </c>
      <c r="V242" t="s">
        <v>863</v>
      </c>
      <c r="W242" t="s">
        <v>76</v>
      </c>
      <c r="X242" t="s">
        <v>77</v>
      </c>
      <c r="Y242">
        <v>2010</v>
      </c>
      <c r="Z242" t="s">
        <v>72</v>
      </c>
      <c r="AA242" t="s">
        <v>72</v>
      </c>
      <c r="AB242" t="s">
        <v>72</v>
      </c>
      <c r="AC242" t="s">
        <v>72</v>
      </c>
      <c r="AD242" t="s">
        <v>72</v>
      </c>
      <c r="AE242">
        <v>0</v>
      </c>
      <c r="AF242" t="s">
        <v>79</v>
      </c>
      <c r="AG242" t="s">
        <v>94</v>
      </c>
      <c r="AH242" t="s">
        <v>95</v>
      </c>
      <c r="AI242" t="s">
        <v>96</v>
      </c>
      <c r="AJ242" t="s">
        <v>97</v>
      </c>
      <c r="AK242">
        <v>0</v>
      </c>
      <c r="AL242">
        <v>0</v>
      </c>
      <c r="AM242">
        <v>0</v>
      </c>
      <c r="AN242" t="s">
        <v>98</v>
      </c>
      <c r="AO242" t="s">
        <v>221</v>
      </c>
      <c r="AP242" t="s">
        <v>386</v>
      </c>
      <c r="AQ242" t="s">
        <v>72</v>
      </c>
      <c r="AR242" t="s">
        <v>72</v>
      </c>
      <c r="AS242" t="s">
        <v>72</v>
      </c>
      <c r="AT242" t="s">
        <v>72</v>
      </c>
      <c r="AU242" t="s">
        <v>72</v>
      </c>
      <c r="AV242" t="s">
        <v>217</v>
      </c>
      <c r="AW242" t="s">
        <v>72</v>
      </c>
      <c r="AX242" t="s">
        <v>307</v>
      </c>
      <c r="AY242">
        <v>47.087001800000003</v>
      </c>
      <c r="AZ242">
        <v>6</v>
      </c>
      <c r="BA242">
        <v>0</v>
      </c>
      <c r="BB242">
        <v>482.26199339999999</v>
      </c>
      <c r="BC242">
        <v>-0.18686800000000001</v>
      </c>
      <c r="BD242">
        <v>0.237038</v>
      </c>
      <c r="BE242">
        <v>137.5</v>
      </c>
      <c r="BF242">
        <v>6.8222598999999997</v>
      </c>
      <c r="BG242">
        <v>0.54208699999999999</v>
      </c>
      <c r="BH242">
        <v>4.4305700999999997</v>
      </c>
      <c r="BI242">
        <v>0.60853800000000002</v>
      </c>
      <c r="BJ242">
        <v>314.74200439999998</v>
      </c>
      <c r="BK242">
        <v>4</v>
      </c>
      <c r="BL242">
        <v>0</v>
      </c>
      <c r="BM242">
        <v>7494.4199219000002</v>
      </c>
      <c r="BN242">
        <v>2018.0799560999999</v>
      </c>
      <c r="BO242">
        <v>106.75</v>
      </c>
      <c r="BP242">
        <v>271</v>
      </c>
      <c r="BQ242">
        <v>4</v>
      </c>
      <c r="BR242">
        <v>3</v>
      </c>
    </row>
    <row r="243" spans="1:70" x14ac:dyDescent="0.25">
      <c r="A243">
        <v>240</v>
      </c>
      <c r="B243">
        <v>12721</v>
      </c>
      <c r="C243">
        <v>88.472250000000003</v>
      </c>
      <c r="D243">
        <v>26.897877000000001</v>
      </c>
      <c r="E243" t="s">
        <v>864</v>
      </c>
      <c r="F243">
        <v>1</v>
      </c>
      <c r="G243" t="s">
        <v>490</v>
      </c>
      <c r="H243" t="s">
        <v>72</v>
      </c>
      <c r="I243" t="s">
        <v>72</v>
      </c>
      <c r="J243" t="s">
        <v>189</v>
      </c>
      <c r="K243">
        <v>170</v>
      </c>
      <c r="L243">
        <v>30</v>
      </c>
      <c r="M243">
        <v>90</v>
      </c>
      <c r="N243">
        <v>5100</v>
      </c>
      <c r="O243" t="s">
        <v>89</v>
      </c>
      <c r="P243" t="s">
        <v>72</v>
      </c>
      <c r="Q243">
        <v>5100</v>
      </c>
      <c r="R243" t="s">
        <v>72</v>
      </c>
      <c r="S243" t="s">
        <v>73</v>
      </c>
      <c r="T243" t="s">
        <v>74</v>
      </c>
      <c r="U243" t="s">
        <v>190</v>
      </c>
      <c r="V243" t="s">
        <v>479</v>
      </c>
      <c r="W243" t="s">
        <v>76</v>
      </c>
      <c r="X243" t="s">
        <v>77</v>
      </c>
      <c r="Y243">
        <v>2004</v>
      </c>
      <c r="Z243" t="s">
        <v>72</v>
      </c>
      <c r="AA243" t="s">
        <v>72</v>
      </c>
      <c r="AB243" t="s">
        <v>72</v>
      </c>
      <c r="AC243" t="s">
        <v>72</v>
      </c>
      <c r="AD243" t="s">
        <v>72</v>
      </c>
      <c r="AE243">
        <v>0</v>
      </c>
      <c r="AF243" t="s">
        <v>148</v>
      </c>
      <c r="AG243" t="s">
        <v>94</v>
      </c>
      <c r="AH243" t="s">
        <v>95</v>
      </c>
      <c r="AI243" t="s">
        <v>96</v>
      </c>
      <c r="AJ243" t="s">
        <v>97</v>
      </c>
      <c r="AK243">
        <v>0</v>
      </c>
      <c r="AL243">
        <v>0</v>
      </c>
      <c r="AM243">
        <v>0</v>
      </c>
      <c r="AN243" t="s">
        <v>98</v>
      </c>
      <c r="AO243" t="s">
        <v>82</v>
      </c>
      <c r="AP243" t="s">
        <v>386</v>
      </c>
      <c r="AQ243" t="s">
        <v>72</v>
      </c>
      <c r="AR243" t="s">
        <v>72</v>
      </c>
      <c r="AS243" t="s">
        <v>72</v>
      </c>
      <c r="AT243" t="s">
        <v>176</v>
      </c>
      <c r="AU243" t="s">
        <v>72</v>
      </c>
      <c r="AV243" t="s">
        <v>72</v>
      </c>
      <c r="AW243" t="s">
        <v>72</v>
      </c>
      <c r="AX243" t="s">
        <v>235</v>
      </c>
      <c r="AY243">
        <v>51.2909012</v>
      </c>
      <c r="AZ243">
        <v>0</v>
      </c>
      <c r="BA243">
        <v>3.2</v>
      </c>
      <c r="BB243">
        <v>485.45400999999998</v>
      </c>
      <c r="BC243">
        <v>-0.195967</v>
      </c>
      <c r="BD243">
        <v>0.23819199999999999</v>
      </c>
      <c r="BE243">
        <v>88.3883972</v>
      </c>
      <c r="BF243">
        <v>2.8602500000000002</v>
      </c>
      <c r="BG243">
        <v>0.57357400000000003</v>
      </c>
      <c r="BH243">
        <v>0.36032500000000001</v>
      </c>
      <c r="BI243">
        <v>0.470333</v>
      </c>
      <c r="BJ243">
        <v>225</v>
      </c>
      <c r="BK243">
        <v>4</v>
      </c>
      <c r="BL243">
        <v>0</v>
      </c>
      <c r="BM243">
        <v>7057.7597655999998</v>
      </c>
      <c r="BN243">
        <v>2647.0800780999998</v>
      </c>
      <c r="BO243">
        <v>99.688796999999994</v>
      </c>
      <c r="BP243">
        <v>291</v>
      </c>
      <c r="BQ243">
        <v>4</v>
      </c>
      <c r="BR243">
        <v>3</v>
      </c>
    </row>
    <row r="244" spans="1:70" x14ac:dyDescent="0.25">
      <c r="A244">
        <v>241</v>
      </c>
      <c r="B244">
        <v>1071</v>
      </c>
      <c r="C244">
        <v>88.47475</v>
      </c>
      <c r="D244">
        <v>26.901222000000001</v>
      </c>
      <c r="E244" t="s">
        <v>865</v>
      </c>
      <c r="F244">
        <v>2</v>
      </c>
      <c r="G244" t="s">
        <v>866</v>
      </c>
      <c r="H244" t="s">
        <v>867</v>
      </c>
      <c r="I244" t="s">
        <v>72</v>
      </c>
      <c r="J244" t="s">
        <v>72</v>
      </c>
      <c r="K244">
        <v>60</v>
      </c>
      <c r="L244">
        <v>45</v>
      </c>
      <c r="M244">
        <v>60</v>
      </c>
      <c r="N244">
        <v>0</v>
      </c>
      <c r="O244" t="s">
        <v>89</v>
      </c>
      <c r="P244" t="s">
        <v>72</v>
      </c>
      <c r="Q244">
        <v>0</v>
      </c>
      <c r="R244" t="s">
        <v>72</v>
      </c>
      <c r="S244" t="s">
        <v>73</v>
      </c>
      <c r="T244" t="s">
        <v>74</v>
      </c>
      <c r="U244" t="s">
        <v>190</v>
      </c>
      <c r="V244" t="s">
        <v>72</v>
      </c>
      <c r="W244" t="s">
        <v>208</v>
      </c>
      <c r="X244" t="s">
        <v>77</v>
      </c>
      <c r="Y244">
        <v>0</v>
      </c>
      <c r="Z244" t="s">
        <v>72</v>
      </c>
      <c r="AA244" t="s">
        <v>72</v>
      </c>
      <c r="AB244" t="s">
        <v>72</v>
      </c>
      <c r="AC244" t="s">
        <v>72</v>
      </c>
      <c r="AD244" t="s">
        <v>868</v>
      </c>
      <c r="AE244">
        <v>0</v>
      </c>
      <c r="AF244" t="s">
        <v>148</v>
      </c>
      <c r="AG244" t="s">
        <v>94</v>
      </c>
      <c r="AH244" t="s">
        <v>95</v>
      </c>
      <c r="AI244" t="s">
        <v>150</v>
      </c>
      <c r="AJ244" t="s">
        <v>97</v>
      </c>
      <c r="AK244">
        <v>0</v>
      </c>
      <c r="AL244">
        <v>0</v>
      </c>
      <c r="AM244">
        <v>0</v>
      </c>
      <c r="AN244" t="s">
        <v>98</v>
      </c>
      <c r="AO244" t="s">
        <v>82</v>
      </c>
      <c r="AP244" t="s">
        <v>665</v>
      </c>
      <c r="AQ244" t="s">
        <v>72</v>
      </c>
      <c r="AR244" t="s">
        <v>72</v>
      </c>
      <c r="AS244" t="s">
        <v>72</v>
      </c>
      <c r="AT244" t="s">
        <v>273</v>
      </c>
      <c r="AU244" t="s">
        <v>72</v>
      </c>
      <c r="AV244" t="s">
        <v>869</v>
      </c>
      <c r="AW244" t="s">
        <v>72</v>
      </c>
      <c r="AX244" t="s">
        <v>870</v>
      </c>
      <c r="AY244">
        <v>24.4850998</v>
      </c>
      <c r="AZ244">
        <v>208</v>
      </c>
      <c r="BA244">
        <v>-0.64</v>
      </c>
      <c r="BB244">
        <v>491.60998540000003</v>
      </c>
      <c r="BC244">
        <v>-0.114996</v>
      </c>
      <c r="BD244">
        <v>0.190632</v>
      </c>
      <c r="BE244">
        <v>12.5</v>
      </c>
      <c r="BF244">
        <v>6.5297098</v>
      </c>
      <c r="BG244">
        <v>0.47863299999999998</v>
      </c>
      <c r="BH244">
        <v>2.3951799999999999</v>
      </c>
      <c r="BI244">
        <v>0.53200700000000001</v>
      </c>
      <c r="BJ244">
        <v>87.5</v>
      </c>
      <c r="BK244">
        <v>7</v>
      </c>
      <c r="BL244">
        <v>0</v>
      </c>
      <c r="BM244">
        <v>6639.1000977000003</v>
      </c>
      <c r="BN244">
        <v>3039.8400879000001</v>
      </c>
      <c r="BO244">
        <v>261.15798949999999</v>
      </c>
      <c r="BP244">
        <v>165</v>
      </c>
      <c r="BQ244">
        <v>4</v>
      </c>
      <c r="BR244">
        <v>3</v>
      </c>
    </row>
    <row r="245" spans="1:70" x14ac:dyDescent="0.25">
      <c r="A245">
        <v>242</v>
      </c>
      <c r="B245">
        <v>13232</v>
      </c>
      <c r="C245">
        <v>88.475109000000003</v>
      </c>
      <c r="D245">
        <v>26.904577</v>
      </c>
      <c r="E245" t="s">
        <v>871</v>
      </c>
      <c r="F245">
        <v>1</v>
      </c>
      <c r="G245" t="s">
        <v>490</v>
      </c>
      <c r="H245" t="s">
        <v>72</v>
      </c>
      <c r="I245" t="s">
        <v>72</v>
      </c>
      <c r="J245" t="s">
        <v>189</v>
      </c>
      <c r="K245">
        <v>93</v>
      </c>
      <c r="L245">
        <v>56</v>
      </c>
      <c r="M245">
        <v>45</v>
      </c>
      <c r="N245">
        <v>5208</v>
      </c>
      <c r="O245" t="s">
        <v>89</v>
      </c>
      <c r="P245" t="s">
        <v>872</v>
      </c>
      <c r="Q245">
        <v>5208</v>
      </c>
      <c r="R245" t="s">
        <v>72</v>
      </c>
      <c r="S245" t="s">
        <v>73</v>
      </c>
      <c r="T245" t="s">
        <v>74</v>
      </c>
      <c r="U245" t="s">
        <v>190</v>
      </c>
      <c r="V245" t="s">
        <v>873</v>
      </c>
      <c r="W245" t="s">
        <v>208</v>
      </c>
      <c r="X245" t="s">
        <v>77</v>
      </c>
      <c r="Y245">
        <v>2010</v>
      </c>
      <c r="Z245" t="s">
        <v>72</v>
      </c>
      <c r="AA245" t="s">
        <v>72</v>
      </c>
      <c r="AB245" t="s">
        <v>72</v>
      </c>
      <c r="AC245" t="s">
        <v>72</v>
      </c>
      <c r="AD245" t="s">
        <v>72</v>
      </c>
      <c r="AE245">
        <v>0</v>
      </c>
      <c r="AF245" t="s">
        <v>148</v>
      </c>
      <c r="AG245" t="s">
        <v>94</v>
      </c>
      <c r="AH245" t="s">
        <v>95</v>
      </c>
      <c r="AI245" t="s">
        <v>96</v>
      </c>
      <c r="AJ245" t="s">
        <v>97</v>
      </c>
      <c r="AK245">
        <v>0</v>
      </c>
      <c r="AL245">
        <v>0</v>
      </c>
      <c r="AM245">
        <v>0</v>
      </c>
      <c r="AN245" t="s">
        <v>336</v>
      </c>
      <c r="AO245" t="s">
        <v>193</v>
      </c>
      <c r="AP245" t="s">
        <v>386</v>
      </c>
      <c r="AQ245" t="s">
        <v>72</v>
      </c>
      <c r="AR245" t="s">
        <v>72</v>
      </c>
      <c r="AS245" t="s">
        <v>72</v>
      </c>
      <c r="AT245" t="s">
        <v>72</v>
      </c>
      <c r="AU245" t="s">
        <v>72</v>
      </c>
      <c r="AV245" t="s">
        <v>874</v>
      </c>
      <c r="AW245" t="s">
        <v>72</v>
      </c>
      <c r="AX245" t="s">
        <v>875</v>
      </c>
      <c r="AY245">
        <v>37.387000999999998</v>
      </c>
      <c r="AZ245">
        <v>147</v>
      </c>
      <c r="BA245">
        <v>-0.64</v>
      </c>
      <c r="BB245">
        <v>447.89700319999997</v>
      </c>
      <c r="BC245">
        <v>-0.11833200000000001</v>
      </c>
      <c r="BD245">
        <v>0.16694100000000001</v>
      </c>
      <c r="BE245">
        <v>201.5559998</v>
      </c>
      <c r="BF245">
        <v>4.7405701000000002</v>
      </c>
      <c r="BG245">
        <v>0.45678999999999997</v>
      </c>
      <c r="BH245">
        <v>1.5243100000000001</v>
      </c>
      <c r="BI245">
        <v>0.64414300000000002</v>
      </c>
      <c r="BJ245">
        <v>221.14799500000001</v>
      </c>
      <c r="BK245">
        <v>4</v>
      </c>
      <c r="BL245">
        <v>0</v>
      </c>
      <c r="BM245">
        <v>6416.25</v>
      </c>
      <c r="BN245">
        <v>3415.5</v>
      </c>
      <c r="BO245">
        <v>227.12100219999999</v>
      </c>
      <c r="BP245">
        <v>190</v>
      </c>
      <c r="BQ245">
        <v>4</v>
      </c>
      <c r="BR245">
        <v>3</v>
      </c>
    </row>
    <row r="246" spans="1:70" x14ac:dyDescent="0.25">
      <c r="A246">
        <v>243</v>
      </c>
      <c r="B246">
        <v>13239</v>
      </c>
      <c r="C246">
        <v>88.476929999999896</v>
      </c>
      <c r="D246">
        <v>26.901861</v>
      </c>
      <c r="E246" t="s">
        <v>876</v>
      </c>
      <c r="F246">
        <v>1</v>
      </c>
      <c r="G246" t="s">
        <v>490</v>
      </c>
      <c r="H246" t="s">
        <v>72</v>
      </c>
      <c r="I246" t="s">
        <v>72</v>
      </c>
      <c r="J246" t="s">
        <v>189</v>
      </c>
      <c r="K246">
        <v>360</v>
      </c>
      <c r="L246">
        <v>104</v>
      </c>
      <c r="M246">
        <v>90</v>
      </c>
      <c r="N246">
        <v>37440</v>
      </c>
      <c r="O246" t="s">
        <v>89</v>
      </c>
      <c r="P246" t="s">
        <v>72</v>
      </c>
      <c r="Q246">
        <v>37440</v>
      </c>
      <c r="R246" t="s">
        <v>72</v>
      </c>
      <c r="S246" t="s">
        <v>73</v>
      </c>
      <c r="T246" t="s">
        <v>74</v>
      </c>
      <c r="U246" t="s">
        <v>190</v>
      </c>
      <c r="V246" t="s">
        <v>877</v>
      </c>
      <c r="W246" t="s">
        <v>92</v>
      </c>
      <c r="X246" t="s">
        <v>77</v>
      </c>
      <c r="Y246">
        <v>2015</v>
      </c>
      <c r="Z246" t="s">
        <v>72</v>
      </c>
      <c r="AA246" t="s">
        <v>72</v>
      </c>
      <c r="AB246" t="s">
        <v>72</v>
      </c>
      <c r="AC246" t="s">
        <v>72</v>
      </c>
      <c r="AD246" t="s">
        <v>72</v>
      </c>
      <c r="AE246">
        <v>0</v>
      </c>
      <c r="AF246" t="s">
        <v>148</v>
      </c>
      <c r="AG246" t="s">
        <v>94</v>
      </c>
      <c r="AH246" t="s">
        <v>95</v>
      </c>
      <c r="AI246" t="s">
        <v>210</v>
      </c>
      <c r="AJ246" t="s">
        <v>97</v>
      </c>
      <c r="AK246">
        <v>0</v>
      </c>
      <c r="AL246">
        <v>0</v>
      </c>
      <c r="AM246">
        <v>0</v>
      </c>
      <c r="AN246" t="s">
        <v>181</v>
      </c>
      <c r="AO246" t="s">
        <v>82</v>
      </c>
      <c r="AP246" t="s">
        <v>386</v>
      </c>
      <c r="AQ246" t="s">
        <v>72</v>
      </c>
      <c r="AR246" t="s">
        <v>72</v>
      </c>
      <c r="AS246" t="s">
        <v>72</v>
      </c>
      <c r="AT246" t="s">
        <v>176</v>
      </c>
      <c r="AU246" t="s">
        <v>72</v>
      </c>
      <c r="AV246" t="s">
        <v>222</v>
      </c>
      <c r="AW246" t="s">
        <v>72</v>
      </c>
      <c r="AX246" t="s">
        <v>223</v>
      </c>
      <c r="AY246">
        <v>37.9496994</v>
      </c>
      <c r="AZ246">
        <v>150</v>
      </c>
      <c r="BA246">
        <v>-2.5599999000000002</v>
      </c>
      <c r="BB246">
        <v>438.51199339999999</v>
      </c>
      <c r="BC246">
        <v>-0.13891400000000001</v>
      </c>
      <c r="BD246">
        <v>0.19711799999999999</v>
      </c>
      <c r="BE246">
        <v>200</v>
      </c>
      <c r="BF246">
        <v>6.2489100000000004</v>
      </c>
      <c r="BG246">
        <v>0.48148099999999999</v>
      </c>
      <c r="BH246">
        <v>3.0467200000000001</v>
      </c>
      <c r="BI246">
        <v>0.53318500000000002</v>
      </c>
      <c r="BJ246">
        <v>300</v>
      </c>
      <c r="BK246">
        <v>7</v>
      </c>
      <c r="BL246">
        <v>0</v>
      </c>
      <c r="BM246">
        <v>6421.1098633000001</v>
      </c>
      <c r="BN246">
        <v>3142.0800780999998</v>
      </c>
      <c r="BO246">
        <v>229.1600037</v>
      </c>
      <c r="BP246">
        <v>258</v>
      </c>
      <c r="BQ246">
        <v>4</v>
      </c>
      <c r="BR246">
        <v>3</v>
      </c>
    </row>
    <row r="247" spans="1:70" x14ac:dyDescent="0.25">
      <c r="A247">
        <v>244</v>
      </c>
      <c r="B247">
        <v>13205</v>
      </c>
      <c r="C247">
        <v>88.476996999999898</v>
      </c>
      <c r="D247">
        <v>26.889154999999899</v>
      </c>
      <c r="E247" t="s">
        <v>878</v>
      </c>
      <c r="F247">
        <v>2</v>
      </c>
      <c r="G247" t="s">
        <v>490</v>
      </c>
      <c r="H247" t="s">
        <v>72</v>
      </c>
      <c r="I247" t="s">
        <v>72</v>
      </c>
      <c r="J247" t="s">
        <v>189</v>
      </c>
      <c r="K247">
        <v>20</v>
      </c>
      <c r="L247">
        <v>20</v>
      </c>
      <c r="M247">
        <v>15</v>
      </c>
      <c r="N247">
        <v>400</v>
      </c>
      <c r="O247" t="s">
        <v>89</v>
      </c>
      <c r="P247" t="s">
        <v>879</v>
      </c>
      <c r="Q247">
        <v>800</v>
      </c>
      <c r="R247" t="s">
        <v>72</v>
      </c>
      <c r="S247" t="s">
        <v>73</v>
      </c>
      <c r="T247" t="s">
        <v>74</v>
      </c>
      <c r="U247" t="s">
        <v>190</v>
      </c>
      <c r="V247" t="s">
        <v>880</v>
      </c>
      <c r="W247" t="s">
        <v>76</v>
      </c>
      <c r="X247" t="s">
        <v>77</v>
      </c>
      <c r="Y247">
        <v>2009</v>
      </c>
      <c r="Z247" t="s">
        <v>72</v>
      </c>
      <c r="AA247" t="s">
        <v>72</v>
      </c>
      <c r="AB247" t="s">
        <v>72</v>
      </c>
      <c r="AC247" t="s">
        <v>72</v>
      </c>
      <c r="AD247" t="s">
        <v>881</v>
      </c>
      <c r="AE247">
        <v>0</v>
      </c>
      <c r="AF247" t="s">
        <v>148</v>
      </c>
      <c r="AG247" t="s">
        <v>94</v>
      </c>
      <c r="AH247" t="s">
        <v>95</v>
      </c>
      <c r="AI247" t="s">
        <v>96</v>
      </c>
      <c r="AJ247" t="s">
        <v>97</v>
      </c>
      <c r="AK247">
        <v>0</v>
      </c>
      <c r="AL247">
        <v>0</v>
      </c>
      <c r="AM247">
        <v>0</v>
      </c>
      <c r="AN247" t="s">
        <v>98</v>
      </c>
      <c r="AO247" t="s">
        <v>82</v>
      </c>
      <c r="AP247" t="s">
        <v>99</v>
      </c>
      <c r="AQ247" t="s">
        <v>72</v>
      </c>
      <c r="AR247" t="s">
        <v>72</v>
      </c>
      <c r="AS247" t="s">
        <v>72</v>
      </c>
      <c r="AT247" t="s">
        <v>72</v>
      </c>
      <c r="AU247" t="s">
        <v>72</v>
      </c>
      <c r="AV247" t="s">
        <v>217</v>
      </c>
      <c r="AW247" t="s">
        <v>72</v>
      </c>
      <c r="AX247" t="s">
        <v>462</v>
      </c>
      <c r="AY247">
        <v>32.343898799999998</v>
      </c>
      <c r="AZ247">
        <v>199</v>
      </c>
      <c r="BA247">
        <v>0.64</v>
      </c>
      <c r="BB247">
        <v>350.76400760000001</v>
      </c>
      <c r="BC247">
        <v>-0.13372700000000001</v>
      </c>
      <c r="BD247">
        <v>0.202546</v>
      </c>
      <c r="BE247">
        <v>50</v>
      </c>
      <c r="BF247">
        <v>5.3805199000000004</v>
      </c>
      <c r="BG247">
        <v>0.48888900000000002</v>
      </c>
      <c r="BH247">
        <v>1.84737</v>
      </c>
      <c r="BI247">
        <v>0.77256800000000003</v>
      </c>
      <c r="BJ247">
        <v>200</v>
      </c>
      <c r="BK247">
        <v>4</v>
      </c>
      <c r="BL247">
        <v>0</v>
      </c>
      <c r="BM247">
        <v>7285.3398438000004</v>
      </c>
      <c r="BN247">
        <v>1782.9499512</v>
      </c>
      <c r="BO247">
        <v>254.42700199999999</v>
      </c>
      <c r="BP247">
        <v>160</v>
      </c>
      <c r="BQ247">
        <v>2</v>
      </c>
      <c r="BR247">
        <v>3</v>
      </c>
    </row>
    <row r="248" spans="1:70" x14ac:dyDescent="0.25">
      <c r="A248">
        <v>245</v>
      </c>
      <c r="B248">
        <v>711</v>
      </c>
      <c r="C248">
        <v>88.477472000000006</v>
      </c>
      <c r="D248">
        <v>26.886778</v>
      </c>
      <c r="E248" t="s">
        <v>882</v>
      </c>
      <c r="F248">
        <v>5</v>
      </c>
      <c r="G248" t="s">
        <v>72</v>
      </c>
      <c r="H248" t="s">
        <v>72</v>
      </c>
      <c r="I248" t="s">
        <v>72</v>
      </c>
      <c r="J248" t="s">
        <v>72</v>
      </c>
      <c r="K248">
        <v>50</v>
      </c>
      <c r="L248">
        <v>80</v>
      </c>
      <c r="M248">
        <v>50</v>
      </c>
      <c r="N248">
        <v>0</v>
      </c>
      <c r="O248" t="s">
        <v>89</v>
      </c>
      <c r="P248" t="s">
        <v>883</v>
      </c>
      <c r="Q248">
        <v>0</v>
      </c>
      <c r="R248" t="s">
        <v>72</v>
      </c>
      <c r="S248" t="s">
        <v>73</v>
      </c>
      <c r="T248" t="s">
        <v>74</v>
      </c>
      <c r="U248" t="s">
        <v>190</v>
      </c>
      <c r="V248" t="s">
        <v>72</v>
      </c>
      <c r="W248" t="s">
        <v>92</v>
      </c>
      <c r="X248" t="s">
        <v>77</v>
      </c>
      <c r="Y248">
        <v>0</v>
      </c>
      <c r="Z248" t="s">
        <v>72</v>
      </c>
      <c r="AA248" t="s">
        <v>72</v>
      </c>
      <c r="AB248" t="s">
        <v>72</v>
      </c>
      <c r="AC248" t="s">
        <v>72</v>
      </c>
      <c r="AD248" t="s">
        <v>884</v>
      </c>
      <c r="AE248">
        <v>0</v>
      </c>
      <c r="AF248" t="s">
        <v>79</v>
      </c>
      <c r="AG248" t="s">
        <v>94</v>
      </c>
      <c r="AH248" t="s">
        <v>95</v>
      </c>
      <c r="AI248" t="s">
        <v>121</v>
      </c>
      <c r="AJ248" t="s">
        <v>609</v>
      </c>
      <c r="AK248">
        <v>0</v>
      </c>
      <c r="AL248">
        <v>0</v>
      </c>
      <c r="AM248">
        <v>0</v>
      </c>
      <c r="AN248" t="s">
        <v>98</v>
      </c>
      <c r="AO248" t="s">
        <v>82</v>
      </c>
      <c r="AP248" t="s">
        <v>665</v>
      </c>
      <c r="AQ248" t="s">
        <v>72</v>
      </c>
      <c r="AR248" t="s">
        <v>72</v>
      </c>
      <c r="AS248" t="s">
        <v>72</v>
      </c>
      <c r="AT248" t="s">
        <v>273</v>
      </c>
      <c r="AU248" t="s">
        <v>72</v>
      </c>
      <c r="AV248" t="s">
        <v>885</v>
      </c>
      <c r="AW248" t="s">
        <v>72</v>
      </c>
      <c r="AX248" t="s">
        <v>886</v>
      </c>
      <c r="AY248">
        <v>20.311300299999999</v>
      </c>
      <c r="AZ248">
        <v>161</v>
      </c>
      <c r="BA248">
        <v>-1.92</v>
      </c>
      <c r="BB248">
        <v>308.0400085</v>
      </c>
      <c r="BC248">
        <v>-0.113607</v>
      </c>
      <c r="BD248">
        <v>0.16740099999999999</v>
      </c>
      <c r="BE248">
        <v>12.5</v>
      </c>
      <c r="BF248">
        <v>6.2276702000000004</v>
      </c>
      <c r="BG248">
        <v>0.43589699999999998</v>
      </c>
      <c r="BH248">
        <v>1.64794</v>
      </c>
      <c r="BI248">
        <v>0.81387299999999996</v>
      </c>
      <c r="BJ248">
        <v>225</v>
      </c>
      <c r="BK248">
        <v>4</v>
      </c>
      <c r="BL248">
        <v>0</v>
      </c>
      <c r="BM248">
        <v>7433.4702147999997</v>
      </c>
      <c r="BN248">
        <v>1552.9200439000001</v>
      </c>
      <c r="BO248">
        <v>218.41799929999999</v>
      </c>
      <c r="BP248">
        <v>121</v>
      </c>
      <c r="BQ248">
        <v>2</v>
      </c>
      <c r="BR248">
        <v>3</v>
      </c>
    </row>
    <row r="249" spans="1:70" x14ac:dyDescent="0.25">
      <c r="A249">
        <v>246</v>
      </c>
      <c r="B249">
        <v>12794</v>
      </c>
      <c r="C249">
        <v>88.480107000000004</v>
      </c>
      <c r="D249">
        <v>26.922070000000001</v>
      </c>
      <c r="E249" t="s">
        <v>887</v>
      </c>
      <c r="F249">
        <v>1</v>
      </c>
      <c r="G249" t="s">
        <v>490</v>
      </c>
      <c r="H249" t="s">
        <v>72</v>
      </c>
      <c r="I249" t="s">
        <v>72</v>
      </c>
      <c r="J249" t="s">
        <v>189</v>
      </c>
      <c r="K249">
        <v>73</v>
      </c>
      <c r="L249">
        <v>35</v>
      </c>
      <c r="M249">
        <v>26</v>
      </c>
      <c r="N249">
        <v>2555</v>
      </c>
      <c r="O249" t="s">
        <v>89</v>
      </c>
      <c r="P249" t="s">
        <v>72</v>
      </c>
      <c r="Q249">
        <v>2555</v>
      </c>
      <c r="R249" t="s">
        <v>72</v>
      </c>
      <c r="S249" t="s">
        <v>73</v>
      </c>
      <c r="T249" t="s">
        <v>74</v>
      </c>
      <c r="U249" t="s">
        <v>190</v>
      </c>
      <c r="V249" t="s">
        <v>888</v>
      </c>
      <c r="W249" t="s">
        <v>208</v>
      </c>
      <c r="X249" t="s">
        <v>77</v>
      </c>
      <c r="Y249">
        <v>2004</v>
      </c>
      <c r="Z249" t="s">
        <v>72</v>
      </c>
      <c r="AA249" t="s">
        <v>72</v>
      </c>
      <c r="AB249" t="s">
        <v>72</v>
      </c>
      <c r="AC249" t="s">
        <v>72</v>
      </c>
      <c r="AD249" t="s">
        <v>72</v>
      </c>
      <c r="AE249">
        <v>0</v>
      </c>
      <c r="AF249" t="s">
        <v>148</v>
      </c>
      <c r="AG249" t="s">
        <v>94</v>
      </c>
      <c r="AH249" t="s">
        <v>95</v>
      </c>
      <c r="AI249" t="s">
        <v>96</v>
      </c>
      <c r="AJ249" t="s">
        <v>97</v>
      </c>
      <c r="AK249">
        <v>0</v>
      </c>
      <c r="AL249">
        <v>0</v>
      </c>
      <c r="AM249">
        <v>0</v>
      </c>
      <c r="AN249" t="s">
        <v>192</v>
      </c>
      <c r="AO249" t="s">
        <v>82</v>
      </c>
      <c r="AP249" t="s">
        <v>114</v>
      </c>
      <c r="AQ249" t="s">
        <v>72</v>
      </c>
      <c r="AR249" t="s">
        <v>72</v>
      </c>
      <c r="AS249" t="s">
        <v>72</v>
      </c>
      <c r="AT249" t="s">
        <v>72</v>
      </c>
      <c r="AU249" t="s">
        <v>889</v>
      </c>
      <c r="AV249" t="s">
        <v>72</v>
      </c>
      <c r="AW249" t="s">
        <v>72</v>
      </c>
      <c r="AX249" t="s">
        <v>197</v>
      </c>
      <c r="AY249">
        <v>25.795499800000002</v>
      </c>
      <c r="AZ249">
        <v>134</v>
      </c>
      <c r="BA249">
        <v>-2.5599999000000002</v>
      </c>
      <c r="BB249">
        <v>424.6659851</v>
      </c>
      <c r="BC249">
        <v>-0.104564</v>
      </c>
      <c r="BD249">
        <v>0.143211</v>
      </c>
      <c r="BE249">
        <v>1311.1300048999999</v>
      </c>
      <c r="BF249">
        <v>7.3959397999999998</v>
      </c>
      <c r="BG249">
        <v>0.55555500000000002</v>
      </c>
      <c r="BH249">
        <v>3.4021398999999999</v>
      </c>
      <c r="BI249">
        <v>0.62342200000000003</v>
      </c>
      <c r="BJ249">
        <v>425.18399049999999</v>
      </c>
      <c r="BK249">
        <v>4</v>
      </c>
      <c r="BL249">
        <v>0</v>
      </c>
      <c r="BM249">
        <v>5197.6699219000002</v>
      </c>
      <c r="BN249">
        <v>5409.4799805000002</v>
      </c>
      <c r="BO249">
        <v>204.4440002</v>
      </c>
      <c r="BP249">
        <v>311</v>
      </c>
      <c r="BQ249">
        <v>4</v>
      </c>
      <c r="BR249">
        <v>3</v>
      </c>
    </row>
    <row r="250" spans="1:70" x14ac:dyDescent="0.25">
      <c r="A250">
        <v>247</v>
      </c>
      <c r="B250">
        <v>10462</v>
      </c>
      <c r="C250">
        <v>88.480166999999895</v>
      </c>
      <c r="D250">
        <v>27.089694000000001</v>
      </c>
      <c r="E250" t="s">
        <v>890</v>
      </c>
      <c r="F250">
        <v>1</v>
      </c>
      <c r="G250" t="s">
        <v>162</v>
      </c>
      <c r="H250" t="s">
        <v>72</v>
      </c>
      <c r="I250" t="s">
        <v>72</v>
      </c>
      <c r="J250" t="s">
        <v>88</v>
      </c>
      <c r="K250">
        <v>15</v>
      </c>
      <c r="L250">
        <v>20</v>
      </c>
      <c r="M250">
        <v>10</v>
      </c>
      <c r="N250">
        <v>300</v>
      </c>
      <c r="O250" t="s">
        <v>89</v>
      </c>
      <c r="P250" t="s">
        <v>72</v>
      </c>
      <c r="Q250">
        <v>300</v>
      </c>
      <c r="R250" t="s">
        <v>72</v>
      </c>
      <c r="S250" t="s">
        <v>73</v>
      </c>
      <c r="T250" t="s">
        <v>74</v>
      </c>
      <c r="U250" t="s">
        <v>90</v>
      </c>
      <c r="V250" t="s">
        <v>891</v>
      </c>
      <c r="W250" t="s">
        <v>159</v>
      </c>
      <c r="X250" t="s">
        <v>77</v>
      </c>
      <c r="Y250">
        <v>2013</v>
      </c>
      <c r="Z250" t="s">
        <v>72</v>
      </c>
      <c r="AA250" t="s">
        <v>72</v>
      </c>
      <c r="AB250" t="s">
        <v>72</v>
      </c>
      <c r="AC250" t="s">
        <v>72</v>
      </c>
      <c r="AD250" t="s">
        <v>892</v>
      </c>
      <c r="AE250">
        <v>20</v>
      </c>
      <c r="AF250" t="s">
        <v>79</v>
      </c>
      <c r="AG250" t="s">
        <v>94</v>
      </c>
      <c r="AH250" t="s">
        <v>95</v>
      </c>
      <c r="AI250" t="s">
        <v>96</v>
      </c>
      <c r="AJ250" t="s">
        <v>97</v>
      </c>
      <c r="AK250">
        <v>0</v>
      </c>
      <c r="AL250">
        <v>0</v>
      </c>
      <c r="AM250">
        <v>0</v>
      </c>
      <c r="AN250" t="s">
        <v>181</v>
      </c>
      <c r="AO250" t="s">
        <v>82</v>
      </c>
      <c r="AP250" t="s">
        <v>386</v>
      </c>
      <c r="AQ250" t="s">
        <v>72</v>
      </c>
      <c r="AR250" t="s">
        <v>72</v>
      </c>
      <c r="AS250" t="s">
        <v>72</v>
      </c>
      <c r="AT250" t="s">
        <v>72</v>
      </c>
      <c r="AU250" t="s">
        <v>72</v>
      </c>
      <c r="AV250" t="s">
        <v>72</v>
      </c>
      <c r="AW250" t="s">
        <v>72</v>
      </c>
      <c r="AX250" t="s">
        <v>103</v>
      </c>
      <c r="AY250">
        <v>27.061700800000001</v>
      </c>
      <c r="AZ250">
        <v>242</v>
      </c>
      <c r="BA250">
        <v>0</v>
      </c>
      <c r="BB250">
        <v>548.43701169999997</v>
      </c>
      <c r="BC250">
        <v>-0.14913000000000001</v>
      </c>
      <c r="BD250">
        <v>0.19692599999999999</v>
      </c>
      <c r="BE250">
        <v>1388.4000243999999</v>
      </c>
      <c r="BF250">
        <v>10.2112999</v>
      </c>
      <c r="BG250">
        <v>0.49382900000000002</v>
      </c>
      <c r="BH250">
        <v>6.3433498999999998</v>
      </c>
      <c r="BI250">
        <v>0.39602399999999999</v>
      </c>
      <c r="BJ250">
        <v>414.2009888</v>
      </c>
      <c r="BK250">
        <v>4</v>
      </c>
      <c r="BL250">
        <v>0</v>
      </c>
      <c r="BM250">
        <v>4790.7797852000003</v>
      </c>
      <c r="BN250">
        <v>1615.5999756000001</v>
      </c>
      <c r="BO250">
        <v>310.23599239999999</v>
      </c>
      <c r="BP250">
        <v>695</v>
      </c>
      <c r="BQ250">
        <v>6</v>
      </c>
      <c r="BR250">
        <v>3</v>
      </c>
    </row>
    <row r="251" spans="1:70" x14ac:dyDescent="0.25">
      <c r="A251">
        <v>248</v>
      </c>
      <c r="B251">
        <v>10595</v>
      </c>
      <c r="C251">
        <v>88.467534999999899</v>
      </c>
      <c r="D251">
        <v>27.092552999999899</v>
      </c>
      <c r="E251" t="s">
        <v>893</v>
      </c>
      <c r="F251">
        <v>1</v>
      </c>
      <c r="G251" t="s">
        <v>894</v>
      </c>
      <c r="H251" t="s">
        <v>895</v>
      </c>
      <c r="I251" t="s">
        <v>72</v>
      </c>
      <c r="J251" t="s">
        <v>88</v>
      </c>
      <c r="K251">
        <v>20</v>
      </c>
      <c r="L251">
        <v>20</v>
      </c>
      <c r="M251">
        <v>15</v>
      </c>
      <c r="N251">
        <v>400</v>
      </c>
      <c r="O251" t="s">
        <v>89</v>
      </c>
      <c r="P251" t="s">
        <v>72</v>
      </c>
      <c r="Q251">
        <v>400</v>
      </c>
      <c r="R251" t="s">
        <v>72</v>
      </c>
      <c r="S251" t="s">
        <v>73</v>
      </c>
      <c r="T251" t="s">
        <v>74</v>
      </c>
      <c r="U251" t="s">
        <v>90</v>
      </c>
      <c r="V251" t="s">
        <v>896</v>
      </c>
      <c r="W251" t="s">
        <v>76</v>
      </c>
      <c r="X251" t="s">
        <v>77</v>
      </c>
      <c r="Y251">
        <v>2007</v>
      </c>
      <c r="Z251" t="s">
        <v>72</v>
      </c>
      <c r="AA251" t="s">
        <v>72</v>
      </c>
      <c r="AB251" t="s">
        <v>72</v>
      </c>
      <c r="AC251" t="s">
        <v>72</v>
      </c>
      <c r="AD251" t="s">
        <v>897</v>
      </c>
      <c r="AE251">
        <v>0</v>
      </c>
      <c r="AF251" t="s">
        <v>148</v>
      </c>
      <c r="AG251" t="s">
        <v>94</v>
      </c>
      <c r="AH251" t="s">
        <v>95</v>
      </c>
      <c r="AI251" t="s">
        <v>96</v>
      </c>
      <c r="AJ251" t="s">
        <v>97</v>
      </c>
      <c r="AK251">
        <v>0</v>
      </c>
      <c r="AL251">
        <v>0</v>
      </c>
      <c r="AM251">
        <v>0</v>
      </c>
      <c r="AN251" t="s">
        <v>181</v>
      </c>
      <c r="AO251" t="s">
        <v>82</v>
      </c>
      <c r="AP251" t="s">
        <v>99</v>
      </c>
      <c r="AQ251" t="s">
        <v>72</v>
      </c>
      <c r="AR251" t="s">
        <v>72</v>
      </c>
      <c r="AS251" t="s">
        <v>72</v>
      </c>
      <c r="AT251" t="s">
        <v>898</v>
      </c>
      <c r="AU251" t="s">
        <v>72</v>
      </c>
      <c r="AV251" t="s">
        <v>899</v>
      </c>
      <c r="AW251" t="s">
        <v>72</v>
      </c>
      <c r="AX251" t="s">
        <v>900</v>
      </c>
      <c r="AY251">
        <v>23.749500300000001</v>
      </c>
      <c r="AZ251">
        <v>216</v>
      </c>
      <c r="BA251">
        <v>0.64</v>
      </c>
      <c r="BB251">
        <v>503.01300049999998</v>
      </c>
      <c r="BC251">
        <v>-0.128603</v>
      </c>
      <c r="BD251">
        <v>0.170651</v>
      </c>
      <c r="BE251">
        <v>341.18399049999999</v>
      </c>
      <c r="BF251">
        <v>6.6384201000000003</v>
      </c>
      <c r="BG251">
        <v>0.51515100000000003</v>
      </c>
      <c r="BH251">
        <v>2.0256900999999998</v>
      </c>
      <c r="BI251">
        <v>0.96916000000000002</v>
      </c>
      <c r="BJ251">
        <v>111.8030014</v>
      </c>
      <c r="BK251">
        <v>7</v>
      </c>
      <c r="BL251">
        <v>0</v>
      </c>
      <c r="BM251">
        <v>3652.4399414</v>
      </c>
      <c r="BN251">
        <v>2869.4799804999998</v>
      </c>
      <c r="BO251">
        <v>0</v>
      </c>
      <c r="BP251">
        <v>377</v>
      </c>
      <c r="BQ251">
        <v>6</v>
      </c>
      <c r="BR251">
        <v>3</v>
      </c>
    </row>
    <row r="252" spans="1:70" x14ac:dyDescent="0.25">
      <c r="A252">
        <v>249</v>
      </c>
      <c r="B252">
        <v>10860</v>
      </c>
      <c r="C252">
        <v>88.479400999999896</v>
      </c>
      <c r="D252">
        <v>27.095580000000002</v>
      </c>
      <c r="E252" t="s">
        <v>901</v>
      </c>
      <c r="F252">
        <v>3</v>
      </c>
      <c r="G252" t="s">
        <v>87</v>
      </c>
      <c r="H252" t="s">
        <v>72</v>
      </c>
      <c r="I252" t="s">
        <v>72</v>
      </c>
      <c r="J252" t="s">
        <v>88</v>
      </c>
      <c r="K252">
        <v>40</v>
      </c>
      <c r="L252">
        <v>10</v>
      </c>
      <c r="M252">
        <v>25</v>
      </c>
      <c r="N252">
        <v>400</v>
      </c>
      <c r="O252" t="s">
        <v>89</v>
      </c>
      <c r="P252" t="s">
        <v>72</v>
      </c>
      <c r="Q252">
        <v>1200</v>
      </c>
      <c r="R252" t="s">
        <v>72</v>
      </c>
      <c r="S252" t="s">
        <v>73</v>
      </c>
      <c r="T252" t="s">
        <v>74</v>
      </c>
      <c r="U252" t="s">
        <v>90</v>
      </c>
      <c r="V252" t="s">
        <v>902</v>
      </c>
      <c r="W252" t="s">
        <v>92</v>
      </c>
      <c r="X252" t="s">
        <v>77</v>
      </c>
      <c r="Y252">
        <v>2012</v>
      </c>
      <c r="Z252" t="s">
        <v>72</v>
      </c>
      <c r="AA252" t="s">
        <v>72</v>
      </c>
      <c r="AB252" t="s">
        <v>72</v>
      </c>
      <c r="AC252" t="s">
        <v>72</v>
      </c>
      <c r="AD252" t="s">
        <v>902</v>
      </c>
      <c r="AE252">
        <v>0</v>
      </c>
      <c r="AF252" t="s">
        <v>148</v>
      </c>
      <c r="AG252" t="s">
        <v>94</v>
      </c>
      <c r="AH252" t="s">
        <v>95</v>
      </c>
      <c r="AI252" t="s">
        <v>150</v>
      </c>
      <c r="AJ252" t="s">
        <v>113</v>
      </c>
      <c r="AK252">
        <v>0</v>
      </c>
      <c r="AL252">
        <v>0</v>
      </c>
      <c r="AM252">
        <v>0</v>
      </c>
      <c r="AN252" t="s">
        <v>181</v>
      </c>
      <c r="AO252" t="s">
        <v>82</v>
      </c>
      <c r="AP252" t="s">
        <v>386</v>
      </c>
      <c r="AQ252" t="s">
        <v>72</v>
      </c>
      <c r="AR252" t="s">
        <v>72</v>
      </c>
      <c r="AS252" t="s">
        <v>72</v>
      </c>
      <c r="AT252" t="s">
        <v>72</v>
      </c>
      <c r="AU252" t="s">
        <v>72</v>
      </c>
      <c r="AV252" t="s">
        <v>72</v>
      </c>
      <c r="AW252" t="s">
        <v>72</v>
      </c>
      <c r="AX252" t="s">
        <v>103</v>
      </c>
      <c r="AY252">
        <v>36.734901399999998</v>
      </c>
      <c r="AZ252">
        <v>126</v>
      </c>
      <c r="BA252">
        <v>1.28</v>
      </c>
      <c r="BB252">
        <v>546.78301999999996</v>
      </c>
      <c r="BC252">
        <v>-0.15474299999999999</v>
      </c>
      <c r="BD252">
        <v>0.19429299999999999</v>
      </c>
      <c r="BE252">
        <v>1358.5999756000001</v>
      </c>
      <c r="BF252">
        <v>5.4617901</v>
      </c>
      <c r="BG252">
        <v>0.51709499999999997</v>
      </c>
      <c r="BH252">
        <v>2.4123700000000001</v>
      </c>
      <c r="BI252">
        <v>0.41938599999999998</v>
      </c>
      <c r="BJ252">
        <v>162.5</v>
      </c>
      <c r="BK252">
        <v>4</v>
      </c>
      <c r="BL252">
        <v>0</v>
      </c>
      <c r="BM252">
        <v>4877.9199219000002</v>
      </c>
      <c r="BN252">
        <v>1774.8699951000001</v>
      </c>
      <c r="BO252">
        <v>215.1809998</v>
      </c>
      <c r="BP252">
        <v>593</v>
      </c>
      <c r="BQ252">
        <v>6</v>
      </c>
      <c r="BR252">
        <v>3</v>
      </c>
    </row>
    <row r="253" spans="1:70" x14ac:dyDescent="0.25">
      <c r="A253">
        <v>250</v>
      </c>
      <c r="B253">
        <v>241</v>
      </c>
      <c r="C253">
        <v>88.477000000000004</v>
      </c>
      <c r="D253">
        <v>27.096</v>
      </c>
      <c r="E253" t="s">
        <v>903</v>
      </c>
      <c r="F253">
        <v>3</v>
      </c>
      <c r="G253" t="s">
        <v>72</v>
      </c>
      <c r="H253" t="s">
        <v>72</v>
      </c>
      <c r="I253" t="s">
        <v>72</v>
      </c>
      <c r="J253" t="s">
        <v>72</v>
      </c>
      <c r="K253">
        <v>25</v>
      </c>
      <c r="L253">
        <v>10</v>
      </c>
      <c r="M253">
        <v>25</v>
      </c>
      <c r="N253">
        <v>0</v>
      </c>
      <c r="O253" t="s">
        <v>72</v>
      </c>
      <c r="P253" t="s">
        <v>72</v>
      </c>
      <c r="Q253">
        <v>0</v>
      </c>
      <c r="R253" t="s">
        <v>72</v>
      </c>
      <c r="S253" t="s">
        <v>73</v>
      </c>
      <c r="T253" t="s">
        <v>74</v>
      </c>
      <c r="U253" t="s">
        <v>90</v>
      </c>
      <c r="V253" t="s">
        <v>72</v>
      </c>
      <c r="W253" t="s">
        <v>92</v>
      </c>
      <c r="X253" t="s">
        <v>77</v>
      </c>
      <c r="Y253">
        <v>0</v>
      </c>
      <c r="Z253" t="s">
        <v>72</v>
      </c>
      <c r="AA253" t="s">
        <v>72</v>
      </c>
      <c r="AB253" t="s">
        <v>72</v>
      </c>
      <c r="AC253" t="s">
        <v>72</v>
      </c>
      <c r="AD253" t="s">
        <v>902</v>
      </c>
      <c r="AE253">
        <v>0</v>
      </c>
      <c r="AF253" t="s">
        <v>148</v>
      </c>
      <c r="AG253" t="s">
        <v>94</v>
      </c>
      <c r="AH253" t="s">
        <v>72</v>
      </c>
      <c r="AI253" t="s">
        <v>150</v>
      </c>
      <c r="AJ253" t="s">
        <v>72</v>
      </c>
      <c r="AK253">
        <v>0</v>
      </c>
      <c r="AL253">
        <v>0</v>
      </c>
      <c r="AM253">
        <v>0</v>
      </c>
      <c r="AN253" t="s">
        <v>72</v>
      </c>
      <c r="AO253" t="s">
        <v>82</v>
      </c>
      <c r="AP253" t="s">
        <v>72</v>
      </c>
      <c r="AQ253" t="s">
        <v>72</v>
      </c>
      <c r="AR253" t="s">
        <v>72</v>
      </c>
      <c r="AS253" t="s">
        <v>72</v>
      </c>
      <c r="AT253" t="s">
        <v>904</v>
      </c>
      <c r="AU253" t="s">
        <v>72</v>
      </c>
      <c r="AV253" t="s">
        <v>72</v>
      </c>
      <c r="AW253" t="s">
        <v>72</v>
      </c>
      <c r="AX253" t="s">
        <v>905</v>
      </c>
      <c r="AY253">
        <v>25.6604004</v>
      </c>
      <c r="AZ253">
        <v>109</v>
      </c>
      <c r="BA253">
        <v>0</v>
      </c>
      <c r="BB253">
        <v>538.37097170000004</v>
      </c>
      <c r="BC253">
        <v>-0.177394</v>
      </c>
      <c r="BD253">
        <v>0.21543999999999999</v>
      </c>
      <c r="BE253">
        <v>1123.6800536999999</v>
      </c>
      <c r="BF253">
        <v>6.5841497999999996</v>
      </c>
      <c r="BG253">
        <v>0.47863299999999998</v>
      </c>
      <c r="BH253">
        <v>2.5717199000000002</v>
      </c>
      <c r="BI253">
        <v>0.59293300000000004</v>
      </c>
      <c r="BJ253">
        <v>260.10800169999999</v>
      </c>
      <c r="BK253">
        <v>4</v>
      </c>
      <c r="BL253">
        <v>0</v>
      </c>
      <c r="BM253">
        <v>4669.2001952999999</v>
      </c>
      <c r="BN253">
        <v>2016.3399658000001</v>
      </c>
      <c r="BO253">
        <v>182.38600159999999</v>
      </c>
      <c r="BP253">
        <v>561</v>
      </c>
      <c r="BQ253">
        <v>6</v>
      </c>
      <c r="BR253">
        <v>3</v>
      </c>
    </row>
    <row r="254" spans="1:70" x14ac:dyDescent="0.25">
      <c r="A254">
        <v>251</v>
      </c>
      <c r="B254">
        <v>10596</v>
      </c>
      <c r="C254">
        <v>88.468224000000006</v>
      </c>
      <c r="D254">
        <v>27.09768</v>
      </c>
      <c r="E254" t="s">
        <v>906</v>
      </c>
      <c r="F254">
        <v>3</v>
      </c>
      <c r="G254" t="s">
        <v>130</v>
      </c>
      <c r="H254" t="s">
        <v>72</v>
      </c>
      <c r="I254" t="s">
        <v>72</v>
      </c>
      <c r="J254" t="s">
        <v>88</v>
      </c>
      <c r="K254">
        <v>50</v>
      </c>
      <c r="L254">
        <v>50</v>
      </c>
      <c r="M254">
        <v>35</v>
      </c>
      <c r="N254">
        <v>2500</v>
      </c>
      <c r="O254" t="s">
        <v>89</v>
      </c>
      <c r="P254" t="s">
        <v>72</v>
      </c>
      <c r="Q254">
        <v>7500</v>
      </c>
      <c r="R254" t="s">
        <v>72</v>
      </c>
      <c r="S254" t="s">
        <v>73</v>
      </c>
      <c r="T254" t="s">
        <v>74</v>
      </c>
      <c r="U254" t="s">
        <v>90</v>
      </c>
      <c r="V254" t="s">
        <v>907</v>
      </c>
      <c r="W254" t="s">
        <v>159</v>
      </c>
      <c r="X254" t="s">
        <v>119</v>
      </c>
      <c r="Y254">
        <v>2007</v>
      </c>
      <c r="Z254" t="s">
        <v>72</v>
      </c>
      <c r="AA254" t="s">
        <v>72</v>
      </c>
      <c r="AB254" t="s">
        <v>72</v>
      </c>
      <c r="AC254" t="s">
        <v>72</v>
      </c>
      <c r="AD254" t="s">
        <v>908</v>
      </c>
      <c r="AE254">
        <v>0</v>
      </c>
      <c r="AF254" t="s">
        <v>79</v>
      </c>
      <c r="AG254" t="s">
        <v>94</v>
      </c>
      <c r="AH254" t="s">
        <v>95</v>
      </c>
      <c r="AI254" t="s">
        <v>121</v>
      </c>
      <c r="AJ254" t="s">
        <v>113</v>
      </c>
      <c r="AK254">
        <v>0</v>
      </c>
      <c r="AL254">
        <v>0</v>
      </c>
      <c r="AM254">
        <v>0</v>
      </c>
      <c r="AN254" t="s">
        <v>181</v>
      </c>
      <c r="AO254" t="s">
        <v>82</v>
      </c>
      <c r="AP254" t="s">
        <v>386</v>
      </c>
      <c r="AQ254" t="s">
        <v>72</v>
      </c>
      <c r="AR254" t="s">
        <v>72</v>
      </c>
      <c r="AS254" t="s">
        <v>72</v>
      </c>
      <c r="AT254" t="s">
        <v>909</v>
      </c>
      <c r="AU254" t="s">
        <v>72</v>
      </c>
      <c r="AV254" t="s">
        <v>910</v>
      </c>
      <c r="AW254" t="s">
        <v>72</v>
      </c>
      <c r="AX254" t="s">
        <v>695</v>
      </c>
      <c r="AY254">
        <v>16.734199499999999</v>
      </c>
      <c r="AZ254">
        <v>206</v>
      </c>
      <c r="BA254">
        <v>2.5599999000000002</v>
      </c>
      <c r="BB254">
        <v>517.85900879999997</v>
      </c>
      <c r="BC254">
        <v>-0.15598100000000001</v>
      </c>
      <c r="BD254">
        <v>0.206205</v>
      </c>
      <c r="BE254">
        <v>327.15600590000003</v>
      </c>
      <c r="BF254">
        <v>4.4206300000000001</v>
      </c>
      <c r="BG254">
        <v>0.51851700000000001</v>
      </c>
      <c r="BH254">
        <v>-1.1974400000000001</v>
      </c>
      <c r="BI254">
        <v>1.0172300000000001</v>
      </c>
      <c r="BJ254">
        <v>318.68899540000001</v>
      </c>
      <c r="BK254">
        <v>4</v>
      </c>
      <c r="BL254">
        <v>0</v>
      </c>
      <c r="BM254">
        <v>3929.9499512000002</v>
      </c>
      <c r="BN254">
        <v>2905.2800293</v>
      </c>
      <c r="BO254">
        <v>266.18600459999999</v>
      </c>
      <c r="BP254">
        <v>446</v>
      </c>
      <c r="BQ254">
        <v>6</v>
      </c>
      <c r="BR254">
        <v>3</v>
      </c>
    </row>
    <row r="255" spans="1:70" x14ac:dyDescent="0.25">
      <c r="A255">
        <v>252</v>
      </c>
      <c r="B255">
        <v>10337</v>
      </c>
      <c r="C255">
        <v>88.468171999999896</v>
      </c>
      <c r="D255">
        <v>27.0976889999999</v>
      </c>
      <c r="E255" t="s">
        <v>911</v>
      </c>
      <c r="F255">
        <v>1</v>
      </c>
      <c r="G255" t="s">
        <v>162</v>
      </c>
      <c r="H255" t="s">
        <v>72</v>
      </c>
      <c r="I255" t="s">
        <v>72</v>
      </c>
      <c r="J255" t="s">
        <v>88</v>
      </c>
      <c r="K255">
        <v>10</v>
      </c>
      <c r="L255">
        <v>15</v>
      </c>
      <c r="M255">
        <v>2</v>
      </c>
      <c r="N255">
        <v>150</v>
      </c>
      <c r="O255" t="s">
        <v>89</v>
      </c>
      <c r="P255" t="s">
        <v>72</v>
      </c>
      <c r="Q255">
        <v>150</v>
      </c>
      <c r="R255" t="s">
        <v>72</v>
      </c>
      <c r="S255" t="s">
        <v>73</v>
      </c>
      <c r="T255" t="s">
        <v>74</v>
      </c>
      <c r="U255" t="s">
        <v>90</v>
      </c>
      <c r="V255" t="s">
        <v>702</v>
      </c>
      <c r="W255" t="s">
        <v>76</v>
      </c>
      <c r="X255" t="s">
        <v>77</v>
      </c>
      <c r="Y255">
        <v>2016</v>
      </c>
      <c r="Z255" t="s">
        <v>72</v>
      </c>
      <c r="AA255" t="s">
        <v>72</v>
      </c>
      <c r="AB255" t="s">
        <v>72</v>
      </c>
      <c r="AC255" t="s">
        <v>72</v>
      </c>
      <c r="AD255" t="s">
        <v>912</v>
      </c>
      <c r="AE255">
        <v>0</v>
      </c>
      <c r="AF255" t="s">
        <v>79</v>
      </c>
      <c r="AG255" t="s">
        <v>913</v>
      </c>
      <c r="AH255" t="s">
        <v>95</v>
      </c>
      <c r="AI255" t="s">
        <v>121</v>
      </c>
      <c r="AJ255" t="s">
        <v>97</v>
      </c>
      <c r="AK255">
        <v>0</v>
      </c>
      <c r="AL255">
        <v>0</v>
      </c>
      <c r="AM255">
        <v>0</v>
      </c>
      <c r="AN255" t="s">
        <v>72</v>
      </c>
      <c r="AO255" t="s">
        <v>72</v>
      </c>
      <c r="AP255" t="s">
        <v>72</v>
      </c>
      <c r="AQ255" t="s">
        <v>72</v>
      </c>
      <c r="AR255" t="s">
        <v>72</v>
      </c>
      <c r="AS255" t="s">
        <v>72</v>
      </c>
      <c r="AT255" t="s">
        <v>72</v>
      </c>
      <c r="AU255" t="s">
        <v>72</v>
      </c>
      <c r="AV255" t="s">
        <v>72</v>
      </c>
      <c r="AW255" t="s">
        <v>72</v>
      </c>
      <c r="AX255" t="s">
        <v>72</v>
      </c>
      <c r="AY255">
        <v>19.471200899999999</v>
      </c>
      <c r="AZ255">
        <v>206</v>
      </c>
      <c r="BA255">
        <v>0</v>
      </c>
      <c r="BB255">
        <v>517.85900879999997</v>
      </c>
      <c r="BC255">
        <v>-0.15598100000000001</v>
      </c>
      <c r="BD255">
        <v>0.206205</v>
      </c>
      <c r="BE255">
        <v>318.19799799999998</v>
      </c>
      <c r="BF255">
        <v>4.6640601000000004</v>
      </c>
      <c r="BG255">
        <v>0.53535299999999997</v>
      </c>
      <c r="BH255">
        <v>-0.34324900000000003</v>
      </c>
      <c r="BI255">
        <v>1.0192600000000001</v>
      </c>
      <c r="BJ255">
        <v>321.37399290000002</v>
      </c>
      <c r="BK255">
        <v>4</v>
      </c>
      <c r="BL255">
        <v>0</v>
      </c>
      <c r="BM255">
        <v>3918.75</v>
      </c>
      <c r="BN255">
        <v>2917.3200683999999</v>
      </c>
      <c r="BO255">
        <v>261.86999509999998</v>
      </c>
      <c r="BP255">
        <v>441</v>
      </c>
      <c r="BQ255">
        <v>6</v>
      </c>
      <c r="BR255">
        <v>3</v>
      </c>
    </row>
    <row r="256" spans="1:70" x14ac:dyDescent="0.25">
      <c r="A256">
        <v>253</v>
      </c>
      <c r="B256">
        <v>10590</v>
      </c>
      <c r="C256">
        <v>88.471434000000002</v>
      </c>
      <c r="D256">
        <v>27.0997319999999</v>
      </c>
      <c r="E256" t="s">
        <v>914</v>
      </c>
      <c r="F256">
        <v>6</v>
      </c>
      <c r="G256" t="s">
        <v>87</v>
      </c>
      <c r="H256" t="s">
        <v>72</v>
      </c>
      <c r="I256" t="s">
        <v>72</v>
      </c>
      <c r="J256" t="s">
        <v>88</v>
      </c>
      <c r="K256">
        <v>225</v>
      </c>
      <c r="L256">
        <v>120</v>
      </c>
      <c r="M256">
        <v>175</v>
      </c>
      <c r="N256">
        <v>27000</v>
      </c>
      <c r="O256" t="s">
        <v>105</v>
      </c>
      <c r="P256" t="s">
        <v>72</v>
      </c>
      <c r="Q256">
        <v>162000</v>
      </c>
      <c r="R256" t="s">
        <v>72</v>
      </c>
      <c r="S256" t="s">
        <v>73</v>
      </c>
      <c r="T256" t="s">
        <v>74</v>
      </c>
      <c r="U256" t="s">
        <v>90</v>
      </c>
      <c r="V256" t="s">
        <v>915</v>
      </c>
      <c r="W256" t="s">
        <v>159</v>
      </c>
      <c r="X256" t="s">
        <v>673</v>
      </c>
      <c r="Y256">
        <v>1968</v>
      </c>
      <c r="Z256" t="s">
        <v>72</v>
      </c>
      <c r="AA256" t="s">
        <v>72</v>
      </c>
      <c r="AB256" t="s">
        <v>72</v>
      </c>
      <c r="AC256" t="s">
        <v>72</v>
      </c>
      <c r="AD256" t="s">
        <v>630</v>
      </c>
      <c r="AE256">
        <v>0</v>
      </c>
      <c r="AF256" t="s">
        <v>79</v>
      </c>
      <c r="AG256" t="s">
        <v>94</v>
      </c>
      <c r="AH256" t="s">
        <v>95</v>
      </c>
      <c r="AI256" t="s">
        <v>96</v>
      </c>
      <c r="AJ256" t="s">
        <v>113</v>
      </c>
      <c r="AK256">
        <v>1974</v>
      </c>
      <c r="AL256">
        <v>0</v>
      </c>
      <c r="AM256">
        <v>0</v>
      </c>
      <c r="AN256" t="s">
        <v>192</v>
      </c>
      <c r="AO256" t="s">
        <v>82</v>
      </c>
      <c r="AP256" t="s">
        <v>386</v>
      </c>
      <c r="AQ256" t="s">
        <v>72</v>
      </c>
      <c r="AR256" t="s">
        <v>72</v>
      </c>
      <c r="AS256" t="s">
        <v>72</v>
      </c>
      <c r="AT256" t="s">
        <v>916</v>
      </c>
      <c r="AU256" t="s">
        <v>72</v>
      </c>
      <c r="AV256" t="s">
        <v>72</v>
      </c>
      <c r="AW256" t="s">
        <v>72</v>
      </c>
      <c r="AX256" t="s">
        <v>72</v>
      </c>
      <c r="AY256">
        <v>23.171800600000001</v>
      </c>
      <c r="AZ256">
        <v>236</v>
      </c>
      <c r="BA256">
        <v>1.92</v>
      </c>
      <c r="BB256">
        <v>540.9180298</v>
      </c>
      <c r="BC256">
        <v>-9.8372600000000004E-2</v>
      </c>
      <c r="BD256">
        <v>0.139233</v>
      </c>
      <c r="BE256">
        <v>446.68899540000001</v>
      </c>
      <c r="BF256">
        <v>3.5109300999999999</v>
      </c>
      <c r="BG256">
        <v>0.53333299999999995</v>
      </c>
      <c r="BH256">
        <v>-7.8902798000000001</v>
      </c>
      <c r="BI256">
        <v>0.97380599999999995</v>
      </c>
      <c r="BJ256">
        <v>561.52697750000004</v>
      </c>
      <c r="BK256">
        <v>7</v>
      </c>
      <c r="BL256">
        <v>0</v>
      </c>
      <c r="BM256">
        <v>4310.2001952999999</v>
      </c>
      <c r="BN256">
        <v>2678.8798827999999</v>
      </c>
      <c r="BO256">
        <v>307.40499879999999</v>
      </c>
      <c r="BP256">
        <v>559</v>
      </c>
      <c r="BQ256">
        <v>6</v>
      </c>
      <c r="BR256">
        <v>3</v>
      </c>
    </row>
    <row r="257" spans="1:70" x14ac:dyDescent="0.25">
      <c r="A257">
        <v>254</v>
      </c>
      <c r="B257">
        <v>10338</v>
      </c>
      <c r="C257">
        <v>88.471716999999899</v>
      </c>
      <c r="D257">
        <v>27.099813000000001</v>
      </c>
      <c r="E257" t="s">
        <v>917</v>
      </c>
      <c r="F257">
        <v>10</v>
      </c>
      <c r="G257" t="s">
        <v>102</v>
      </c>
      <c r="H257" t="s">
        <v>72</v>
      </c>
      <c r="I257" t="s">
        <v>72</v>
      </c>
      <c r="J257" t="s">
        <v>88</v>
      </c>
      <c r="K257">
        <v>30</v>
      </c>
      <c r="L257">
        <v>2</v>
      </c>
      <c r="M257">
        <v>20</v>
      </c>
      <c r="N257">
        <v>60</v>
      </c>
      <c r="O257" t="s">
        <v>89</v>
      </c>
      <c r="P257" t="s">
        <v>72</v>
      </c>
      <c r="Q257">
        <v>600</v>
      </c>
      <c r="R257" t="s">
        <v>72</v>
      </c>
      <c r="S257" t="s">
        <v>73</v>
      </c>
      <c r="T257" t="s">
        <v>74</v>
      </c>
      <c r="U257" t="s">
        <v>90</v>
      </c>
      <c r="V257" t="s">
        <v>702</v>
      </c>
      <c r="W257" t="s">
        <v>92</v>
      </c>
      <c r="X257" t="s">
        <v>77</v>
      </c>
      <c r="Y257">
        <v>2016</v>
      </c>
      <c r="Z257" t="s">
        <v>72</v>
      </c>
      <c r="AA257" t="s">
        <v>72</v>
      </c>
      <c r="AB257" t="s">
        <v>72</v>
      </c>
      <c r="AC257" t="s">
        <v>72</v>
      </c>
      <c r="AD257" t="s">
        <v>918</v>
      </c>
      <c r="AE257">
        <v>0</v>
      </c>
      <c r="AF257" t="s">
        <v>79</v>
      </c>
      <c r="AG257" t="s">
        <v>94</v>
      </c>
      <c r="AH257" t="s">
        <v>95</v>
      </c>
      <c r="AI257" t="s">
        <v>96</v>
      </c>
      <c r="AJ257" t="s">
        <v>97</v>
      </c>
      <c r="AK257">
        <v>0</v>
      </c>
      <c r="AL257">
        <v>0</v>
      </c>
      <c r="AM257">
        <v>0</v>
      </c>
      <c r="AN257" t="s">
        <v>72</v>
      </c>
      <c r="AO257" t="s">
        <v>72</v>
      </c>
      <c r="AP257" t="s">
        <v>72</v>
      </c>
      <c r="AQ257" t="s">
        <v>72</v>
      </c>
      <c r="AR257" t="s">
        <v>72</v>
      </c>
      <c r="AS257" t="s">
        <v>72</v>
      </c>
      <c r="AT257" t="s">
        <v>72</v>
      </c>
      <c r="AU257" t="s">
        <v>72</v>
      </c>
      <c r="AV257" t="s">
        <v>72</v>
      </c>
      <c r="AW257" t="s">
        <v>72</v>
      </c>
      <c r="AX257" t="s">
        <v>72</v>
      </c>
      <c r="AY257">
        <v>23.273300200000001</v>
      </c>
      <c r="AZ257">
        <v>235</v>
      </c>
      <c r="BA257">
        <v>-0.64</v>
      </c>
      <c r="BB257">
        <v>540.9180298</v>
      </c>
      <c r="BC257">
        <v>-9.23847E-2</v>
      </c>
      <c r="BD257">
        <v>0.135078</v>
      </c>
      <c r="BE257">
        <v>466.70400999999998</v>
      </c>
      <c r="BF257">
        <v>4.0625800999999999</v>
      </c>
      <c r="BG257">
        <v>0.48148200000000002</v>
      </c>
      <c r="BH257">
        <v>-0.84037799999999996</v>
      </c>
      <c r="BI257">
        <v>0.96753</v>
      </c>
      <c r="BJ257">
        <v>581.0819702</v>
      </c>
      <c r="BK257">
        <v>7</v>
      </c>
      <c r="BL257">
        <v>0</v>
      </c>
      <c r="BM257">
        <v>4338.1499022999997</v>
      </c>
      <c r="BN257">
        <v>2660.1201172000001</v>
      </c>
      <c r="BO257">
        <v>305.5379944</v>
      </c>
      <c r="BP257">
        <v>566</v>
      </c>
      <c r="BQ257">
        <v>6</v>
      </c>
      <c r="BR257">
        <v>3</v>
      </c>
    </row>
    <row r="258" spans="1:70" x14ac:dyDescent="0.25">
      <c r="A258">
        <v>255</v>
      </c>
      <c r="B258">
        <v>214</v>
      </c>
      <c r="C258">
        <v>88.469999999999899</v>
      </c>
      <c r="D258">
        <v>27.1009999999999</v>
      </c>
      <c r="E258" t="s">
        <v>919</v>
      </c>
      <c r="F258">
        <v>3</v>
      </c>
      <c r="G258" t="s">
        <v>648</v>
      </c>
      <c r="H258" t="s">
        <v>72</v>
      </c>
      <c r="I258" t="s">
        <v>72</v>
      </c>
      <c r="J258" t="s">
        <v>72</v>
      </c>
      <c r="K258">
        <v>35</v>
      </c>
      <c r="L258">
        <v>50</v>
      </c>
      <c r="M258">
        <v>35</v>
      </c>
      <c r="N258">
        <v>0</v>
      </c>
      <c r="O258" t="s">
        <v>72</v>
      </c>
      <c r="P258" t="s">
        <v>649</v>
      </c>
      <c r="Q258">
        <v>0</v>
      </c>
      <c r="R258" t="s">
        <v>72</v>
      </c>
      <c r="S258" t="s">
        <v>73</v>
      </c>
      <c r="T258" t="s">
        <v>74</v>
      </c>
      <c r="U258" t="s">
        <v>90</v>
      </c>
      <c r="V258" t="s">
        <v>72</v>
      </c>
      <c r="W258" t="s">
        <v>159</v>
      </c>
      <c r="X258" t="s">
        <v>119</v>
      </c>
      <c r="Y258">
        <v>0</v>
      </c>
      <c r="Z258" t="s">
        <v>72</v>
      </c>
      <c r="AA258" t="s">
        <v>72</v>
      </c>
      <c r="AB258" t="s">
        <v>72</v>
      </c>
      <c r="AC258" t="s">
        <v>72</v>
      </c>
      <c r="AD258" t="s">
        <v>920</v>
      </c>
      <c r="AE258">
        <v>0</v>
      </c>
      <c r="AF258" t="s">
        <v>79</v>
      </c>
      <c r="AG258" t="s">
        <v>94</v>
      </c>
      <c r="AH258" t="s">
        <v>72</v>
      </c>
      <c r="AI258" t="s">
        <v>121</v>
      </c>
      <c r="AJ258" t="s">
        <v>113</v>
      </c>
      <c r="AK258">
        <v>0</v>
      </c>
      <c r="AL258">
        <v>0</v>
      </c>
      <c r="AM258">
        <v>0</v>
      </c>
      <c r="AN258" t="s">
        <v>72</v>
      </c>
      <c r="AO258" t="s">
        <v>72</v>
      </c>
      <c r="AP258" t="s">
        <v>72</v>
      </c>
      <c r="AQ258" t="s">
        <v>72</v>
      </c>
      <c r="AR258" t="s">
        <v>72</v>
      </c>
      <c r="AS258" t="s">
        <v>72</v>
      </c>
      <c r="AT258" t="s">
        <v>72</v>
      </c>
      <c r="AU258" t="s">
        <v>72</v>
      </c>
      <c r="AV258" t="s">
        <v>921</v>
      </c>
      <c r="AW258" t="s">
        <v>72</v>
      </c>
      <c r="AX258" t="s">
        <v>72</v>
      </c>
      <c r="AY258">
        <v>34.720600099999999</v>
      </c>
      <c r="AZ258">
        <v>250</v>
      </c>
      <c r="BA258">
        <v>1.28</v>
      </c>
      <c r="BB258">
        <v>539.90600589999997</v>
      </c>
      <c r="BC258">
        <v>-0.12762000000000001</v>
      </c>
      <c r="BD258">
        <v>0.18696499999999999</v>
      </c>
      <c r="BE258">
        <v>261.00799560000002</v>
      </c>
      <c r="BF258">
        <v>3.78579</v>
      </c>
      <c r="BG258">
        <v>0.53777799999999998</v>
      </c>
      <c r="BH258">
        <v>-0.56415199999999999</v>
      </c>
      <c r="BI258">
        <v>1.0176099999999999</v>
      </c>
      <c r="BJ258">
        <v>395.2850037</v>
      </c>
      <c r="BK258">
        <v>7</v>
      </c>
      <c r="BL258">
        <v>0</v>
      </c>
      <c r="BM258">
        <v>4243.5400391000003</v>
      </c>
      <c r="BN258">
        <v>2867.5200195000002</v>
      </c>
      <c r="BO258">
        <v>315</v>
      </c>
      <c r="BP258">
        <v>449</v>
      </c>
      <c r="BQ258">
        <v>6</v>
      </c>
      <c r="BR258">
        <v>3</v>
      </c>
    </row>
    <row r="259" spans="1:70" x14ac:dyDescent="0.25">
      <c r="A259">
        <v>256</v>
      </c>
      <c r="B259">
        <v>10438</v>
      </c>
      <c r="C259">
        <v>88.467500000000001</v>
      </c>
      <c r="D259">
        <v>27.102139000000001</v>
      </c>
      <c r="E259" t="s">
        <v>922</v>
      </c>
      <c r="F259">
        <v>1</v>
      </c>
      <c r="G259" t="s">
        <v>102</v>
      </c>
      <c r="H259" t="s">
        <v>72</v>
      </c>
      <c r="I259" t="s">
        <v>72</v>
      </c>
      <c r="J259" t="s">
        <v>88</v>
      </c>
      <c r="K259">
        <v>15</v>
      </c>
      <c r="L259">
        <v>20</v>
      </c>
      <c r="M259">
        <v>10</v>
      </c>
      <c r="N259">
        <v>300</v>
      </c>
      <c r="O259" t="s">
        <v>89</v>
      </c>
      <c r="P259" t="s">
        <v>72</v>
      </c>
      <c r="Q259">
        <v>300</v>
      </c>
      <c r="R259" t="s">
        <v>72</v>
      </c>
      <c r="S259" t="s">
        <v>73</v>
      </c>
      <c r="T259" t="s">
        <v>74</v>
      </c>
      <c r="U259" t="s">
        <v>90</v>
      </c>
      <c r="V259" t="s">
        <v>923</v>
      </c>
      <c r="W259" t="s">
        <v>159</v>
      </c>
      <c r="X259" t="s">
        <v>77</v>
      </c>
      <c r="Y259">
        <v>2014</v>
      </c>
      <c r="Z259" t="s">
        <v>72</v>
      </c>
      <c r="AA259" t="s">
        <v>72</v>
      </c>
      <c r="AB259" t="s">
        <v>72</v>
      </c>
      <c r="AC259" t="s">
        <v>72</v>
      </c>
      <c r="AD259" t="s">
        <v>924</v>
      </c>
      <c r="AE259">
        <v>1</v>
      </c>
      <c r="AF259" t="s">
        <v>148</v>
      </c>
      <c r="AG259" t="s">
        <v>385</v>
      </c>
      <c r="AH259" t="s">
        <v>95</v>
      </c>
      <c r="AI259" t="s">
        <v>96</v>
      </c>
      <c r="AJ259" t="s">
        <v>97</v>
      </c>
      <c r="AK259">
        <v>2016</v>
      </c>
      <c r="AL259">
        <v>0</v>
      </c>
      <c r="AM259">
        <v>0</v>
      </c>
      <c r="AN259" t="s">
        <v>192</v>
      </c>
      <c r="AO259" t="s">
        <v>82</v>
      </c>
      <c r="AP259" t="s">
        <v>99</v>
      </c>
      <c r="AQ259" t="s">
        <v>72</v>
      </c>
      <c r="AR259" t="s">
        <v>72</v>
      </c>
      <c r="AS259" t="s">
        <v>72</v>
      </c>
      <c r="AT259" t="s">
        <v>72</v>
      </c>
      <c r="AU259" t="s">
        <v>72</v>
      </c>
      <c r="AV259" t="s">
        <v>72</v>
      </c>
      <c r="AW259" t="s">
        <v>72</v>
      </c>
      <c r="AX259" t="s">
        <v>103</v>
      </c>
      <c r="AY259">
        <v>38.992500300000003</v>
      </c>
      <c r="AZ259">
        <v>247</v>
      </c>
      <c r="BA259">
        <v>-0.64</v>
      </c>
      <c r="BB259">
        <v>508.51199339999999</v>
      </c>
      <c r="BC259">
        <v>-6.5178E-2</v>
      </c>
      <c r="BD259">
        <v>0.118661</v>
      </c>
      <c r="BE259">
        <v>0</v>
      </c>
      <c r="BF259">
        <v>2.6989500999999998</v>
      </c>
      <c r="BG259">
        <v>0.48971199999999998</v>
      </c>
      <c r="BH259">
        <v>-7.0797901000000003</v>
      </c>
      <c r="BI259">
        <v>1.07447</v>
      </c>
      <c r="BJ259">
        <v>137.5</v>
      </c>
      <c r="BK259">
        <v>7</v>
      </c>
      <c r="BL259">
        <v>0</v>
      </c>
      <c r="BM259">
        <v>4105.2597655999998</v>
      </c>
      <c r="BN259">
        <v>3133.8898926000002</v>
      </c>
      <c r="BO259">
        <v>295.61499020000002</v>
      </c>
      <c r="BP259">
        <v>291</v>
      </c>
      <c r="BQ259">
        <v>6</v>
      </c>
      <c r="BR259">
        <v>3</v>
      </c>
    </row>
    <row r="260" spans="1:70" x14ac:dyDescent="0.25">
      <c r="A260">
        <v>257</v>
      </c>
      <c r="B260">
        <v>224</v>
      </c>
      <c r="C260">
        <v>88.471000000000004</v>
      </c>
      <c r="D260">
        <v>27.102</v>
      </c>
      <c r="E260" t="s">
        <v>925</v>
      </c>
      <c r="F260">
        <v>6</v>
      </c>
      <c r="G260" t="s">
        <v>926</v>
      </c>
      <c r="H260" t="s">
        <v>72</v>
      </c>
      <c r="I260" t="s">
        <v>72</v>
      </c>
      <c r="J260" t="s">
        <v>72</v>
      </c>
      <c r="K260">
        <v>175</v>
      </c>
      <c r="L260">
        <v>120</v>
      </c>
      <c r="M260">
        <v>175</v>
      </c>
      <c r="N260">
        <v>0</v>
      </c>
      <c r="O260" t="s">
        <v>72</v>
      </c>
      <c r="P260" t="s">
        <v>927</v>
      </c>
      <c r="Q260">
        <v>0</v>
      </c>
      <c r="R260" t="s">
        <v>72</v>
      </c>
      <c r="S260" t="s">
        <v>73</v>
      </c>
      <c r="T260" t="s">
        <v>74</v>
      </c>
      <c r="U260" t="s">
        <v>90</v>
      </c>
      <c r="V260" t="s">
        <v>72</v>
      </c>
      <c r="W260" t="s">
        <v>76</v>
      </c>
      <c r="X260" t="s">
        <v>673</v>
      </c>
      <c r="Y260">
        <v>1968</v>
      </c>
      <c r="Z260" t="s">
        <v>72</v>
      </c>
      <c r="AA260" t="s">
        <v>72</v>
      </c>
      <c r="AB260" t="s">
        <v>72</v>
      </c>
      <c r="AC260" t="s">
        <v>72</v>
      </c>
      <c r="AD260" t="s">
        <v>630</v>
      </c>
      <c r="AE260">
        <v>0</v>
      </c>
      <c r="AF260" t="s">
        <v>79</v>
      </c>
      <c r="AG260" t="s">
        <v>94</v>
      </c>
      <c r="AH260" t="s">
        <v>72</v>
      </c>
      <c r="AI260" t="s">
        <v>96</v>
      </c>
      <c r="AJ260" t="s">
        <v>72</v>
      </c>
      <c r="AK260">
        <v>1974</v>
      </c>
      <c r="AL260">
        <v>0</v>
      </c>
      <c r="AM260">
        <v>0</v>
      </c>
      <c r="AN260" t="s">
        <v>72</v>
      </c>
      <c r="AO260" t="s">
        <v>177</v>
      </c>
      <c r="AP260" t="s">
        <v>399</v>
      </c>
      <c r="AQ260" t="s">
        <v>72</v>
      </c>
      <c r="AR260" t="s">
        <v>72</v>
      </c>
      <c r="AS260" t="s">
        <v>72</v>
      </c>
      <c r="AT260" t="s">
        <v>72</v>
      </c>
      <c r="AU260" t="s">
        <v>72</v>
      </c>
      <c r="AV260" t="s">
        <v>928</v>
      </c>
      <c r="AW260" t="s">
        <v>72</v>
      </c>
      <c r="AX260" t="s">
        <v>929</v>
      </c>
      <c r="AY260">
        <v>23.046899799999998</v>
      </c>
      <c r="AZ260">
        <v>233</v>
      </c>
      <c r="BA260">
        <v>-1.28</v>
      </c>
      <c r="BB260">
        <v>540.51202390000003</v>
      </c>
      <c r="BC260">
        <v>-0.15560299999999999</v>
      </c>
      <c r="BD260">
        <v>0.215504</v>
      </c>
      <c r="BE260">
        <v>309.48498540000003</v>
      </c>
      <c r="BF260">
        <v>7.2693500999999996</v>
      </c>
      <c r="BG260">
        <v>0.48888999999999999</v>
      </c>
      <c r="BH260">
        <v>3.14168</v>
      </c>
      <c r="BI260">
        <v>0.975769</v>
      </c>
      <c r="BJ260">
        <v>467.03900149999998</v>
      </c>
      <c r="BK260">
        <v>7</v>
      </c>
      <c r="BL260">
        <v>0</v>
      </c>
      <c r="BM260">
        <v>4386.3798827999999</v>
      </c>
      <c r="BN260">
        <v>2807.3601073999998</v>
      </c>
      <c r="BO260">
        <v>330.4219971</v>
      </c>
      <c r="BP260">
        <v>434</v>
      </c>
      <c r="BQ260">
        <v>6</v>
      </c>
      <c r="BR260">
        <v>3</v>
      </c>
    </row>
    <row r="261" spans="1:70" x14ac:dyDescent="0.25">
      <c r="A261">
        <v>258</v>
      </c>
      <c r="B261">
        <v>11556</v>
      </c>
      <c r="C261">
        <v>88.473087000000007</v>
      </c>
      <c r="D261">
        <v>27.08672</v>
      </c>
      <c r="E261" t="s">
        <v>930</v>
      </c>
      <c r="F261">
        <v>15</v>
      </c>
      <c r="G261" t="s">
        <v>931</v>
      </c>
      <c r="H261" t="s">
        <v>72</v>
      </c>
      <c r="I261" t="s">
        <v>72</v>
      </c>
      <c r="J261" t="s">
        <v>88</v>
      </c>
      <c r="K261">
        <v>35</v>
      </c>
      <c r="L261">
        <v>8</v>
      </c>
      <c r="M261">
        <v>28</v>
      </c>
      <c r="N261">
        <v>280</v>
      </c>
      <c r="O261" t="s">
        <v>89</v>
      </c>
      <c r="P261" t="s">
        <v>72</v>
      </c>
      <c r="Q261">
        <v>4200</v>
      </c>
      <c r="R261" t="s">
        <v>72</v>
      </c>
      <c r="S261" t="s">
        <v>73</v>
      </c>
      <c r="T261" t="s">
        <v>74</v>
      </c>
      <c r="U261" t="s">
        <v>90</v>
      </c>
      <c r="V261" t="s">
        <v>932</v>
      </c>
      <c r="W261" t="s">
        <v>76</v>
      </c>
      <c r="X261" t="s">
        <v>77</v>
      </c>
      <c r="Y261">
        <v>2016</v>
      </c>
      <c r="Z261" t="s">
        <v>72</v>
      </c>
      <c r="AA261" t="s">
        <v>72</v>
      </c>
      <c r="AB261" t="s">
        <v>72</v>
      </c>
      <c r="AC261" t="s">
        <v>72</v>
      </c>
      <c r="AD261" t="s">
        <v>933</v>
      </c>
      <c r="AE261">
        <v>0</v>
      </c>
      <c r="AF261" t="s">
        <v>148</v>
      </c>
      <c r="AG261" t="s">
        <v>94</v>
      </c>
      <c r="AH261" t="s">
        <v>95</v>
      </c>
      <c r="AI261" t="s">
        <v>121</v>
      </c>
      <c r="AJ261" t="s">
        <v>97</v>
      </c>
      <c r="AK261">
        <v>0</v>
      </c>
      <c r="AL261">
        <v>0</v>
      </c>
      <c r="AM261">
        <v>0</v>
      </c>
      <c r="AN261" t="s">
        <v>72</v>
      </c>
      <c r="AO261" t="s">
        <v>72</v>
      </c>
      <c r="AP261" t="s">
        <v>72</v>
      </c>
      <c r="AQ261" t="s">
        <v>72</v>
      </c>
      <c r="AR261" t="s">
        <v>72</v>
      </c>
      <c r="AS261" t="s">
        <v>72</v>
      </c>
      <c r="AT261" t="s">
        <v>72</v>
      </c>
      <c r="AU261" t="s">
        <v>72</v>
      </c>
      <c r="AV261" t="s">
        <v>72</v>
      </c>
      <c r="AW261" t="s">
        <v>72</v>
      </c>
      <c r="AX261" t="s">
        <v>72</v>
      </c>
      <c r="AY261">
        <v>20.2430992</v>
      </c>
      <c r="AZ261">
        <v>164</v>
      </c>
      <c r="BA261">
        <v>-0.64</v>
      </c>
      <c r="BB261">
        <v>572.46698000000004</v>
      </c>
      <c r="BC261">
        <v>-0.154642</v>
      </c>
      <c r="BD261">
        <v>0.18023700000000001</v>
      </c>
      <c r="BE261">
        <v>1167.2600098</v>
      </c>
      <c r="BF261">
        <v>5.1327199999999999</v>
      </c>
      <c r="BG261">
        <v>0.487178</v>
      </c>
      <c r="BH261">
        <v>0.39170199999999999</v>
      </c>
      <c r="BI261">
        <v>0.60057499999999997</v>
      </c>
      <c r="BJ261">
        <v>381.60800169999999</v>
      </c>
      <c r="BK261">
        <v>4</v>
      </c>
      <c r="BL261">
        <v>0</v>
      </c>
      <c r="BM261">
        <v>4046.6999512000002</v>
      </c>
      <c r="BN261">
        <v>2353.5200195000002</v>
      </c>
      <c r="BO261">
        <v>220.60099790000001</v>
      </c>
      <c r="BP261">
        <v>596</v>
      </c>
      <c r="BQ261">
        <v>6</v>
      </c>
      <c r="BR261">
        <v>3</v>
      </c>
    </row>
    <row r="262" spans="1:70" x14ac:dyDescent="0.25">
      <c r="A262">
        <v>259</v>
      </c>
      <c r="B262">
        <v>10630</v>
      </c>
      <c r="C262">
        <v>88.473078000000001</v>
      </c>
      <c r="D262">
        <v>27.086855</v>
      </c>
      <c r="E262" t="s">
        <v>934</v>
      </c>
      <c r="F262">
        <v>5</v>
      </c>
      <c r="G262" t="s">
        <v>87</v>
      </c>
      <c r="H262" t="s">
        <v>72</v>
      </c>
      <c r="I262" t="s">
        <v>72</v>
      </c>
      <c r="J262" t="s">
        <v>88</v>
      </c>
      <c r="K262">
        <v>120</v>
      </c>
      <c r="L262">
        <v>60</v>
      </c>
      <c r="M262">
        <v>90</v>
      </c>
      <c r="N262">
        <v>7200</v>
      </c>
      <c r="O262" t="s">
        <v>89</v>
      </c>
      <c r="P262" t="s">
        <v>72</v>
      </c>
      <c r="Q262">
        <v>36000</v>
      </c>
      <c r="R262" t="s">
        <v>72</v>
      </c>
      <c r="S262" t="s">
        <v>73</v>
      </c>
      <c r="T262" t="s">
        <v>74</v>
      </c>
      <c r="U262" t="s">
        <v>90</v>
      </c>
      <c r="V262" t="s">
        <v>935</v>
      </c>
      <c r="W262" t="s">
        <v>76</v>
      </c>
      <c r="X262" t="s">
        <v>119</v>
      </c>
      <c r="Y262">
        <v>2013</v>
      </c>
      <c r="Z262" t="s">
        <v>72</v>
      </c>
      <c r="AA262" t="s">
        <v>72</v>
      </c>
      <c r="AB262" t="s">
        <v>72</v>
      </c>
      <c r="AC262" t="s">
        <v>72</v>
      </c>
      <c r="AD262" t="s">
        <v>72</v>
      </c>
      <c r="AE262">
        <v>0</v>
      </c>
      <c r="AF262" t="s">
        <v>79</v>
      </c>
      <c r="AG262" t="s">
        <v>94</v>
      </c>
      <c r="AH262" t="s">
        <v>95</v>
      </c>
      <c r="AI262" t="s">
        <v>150</v>
      </c>
      <c r="AJ262" t="s">
        <v>113</v>
      </c>
      <c r="AK262">
        <v>0</v>
      </c>
      <c r="AL262">
        <v>0</v>
      </c>
      <c r="AM262">
        <v>0</v>
      </c>
      <c r="AN262" t="s">
        <v>181</v>
      </c>
      <c r="AO262" t="s">
        <v>82</v>
      </c>
      <c r="AP262" t="s">
        <v>114</v>
      </c>
      <c r="AQ262" t="s">
        <v>72</v>
      </c>
      <c r="AR262" t="s">
        <v>72</v>
      </c>
      <c r="AS262" t="s">
        <v>72</v>
      </c>
      <c r="AT262" t="s">
        <v>72</v>
      </c>
      <c r="AU262" t="s">
        <v>72</v>
      </c>
      <c r="AV262" t="s">
        <v>72</v>
      </c>
      <c r="AW262" t="s">
        <v>72</v>
      </c>
      <c r="AX262" t="s">
        <v>103</v>
      </c>
      <c r="AY262">
        <v>21.615100900000002</v>
      </c>
      <c r="AZ262">
        <v>165</v>
      </c>
      <c r="BA262">
        <v>1.28</v>
      </c>
      <c r="BB262">
        <v>572.46698000000004</v>
      </c>
      <c r="BC262">
        <v>-0.154642</v>
      </c>
      <c r="BD262">
        <v>0.18023700000000001</v>
      </c>
      <c r="BE262">
        <v>1158.7299805</v>
      </c>
      <c r="BF262">
        <v>4.5450301</v>
      </c>
      <c r="BG262">
        <v>0.476192</v>
      </c>
      <c r="BH262">
        <v>-0.22453000000000001</v>
      </c>
      <c r="BI262">
        <v>0.60497500000000004</v>
      </c>
      <c r="BJ262">
        <v>371.02099609999999</v>
      </c>
      <c r="BK262">
        <v>4</v>
      </c>
      <c r="BL262">
        <v>0</v>
      </c>
      <c r="BM262">
        <v>4048.3400879000001</v>
      </c>
      <c r="BN262">
        <v>2351.2299804999998</v>
      </c>
      <c r="BO262">
        <v>222.95500179999999</v>
      </c>
      <c r="BP262">
        <v>604</v>
      </c>
      <c r="BQ262">
        <v>6</v>
      </c>
      <c r="BR262">
        <v>3</v>
      </c>
    </row>
    <row r="263" spans="1:70" x14ac:dyDescent="0.25">
      <c r="A263">
        <v>260</v>
      </c>
      <c r="B263">
        <v>10631</v>
      </c>
      <c r="C263">
        <v>88.4742099999999</v>
      </c>
      <c r="D263">
        <v>27.086814</v>
      </c>
      <c r="E263" t="s">
        <v>936</v>
      </c>
      <c r="F263">
        <v>5</v>
      </c>
      <c r="G263" t="s">
        <v>87</v>
      </c>
      <c r="H263" t="s">
        <v>72</v>
      </c>
      <c r="I263" t="s">
        <v>72</v>
      </c>
      <c r="J263" t="s">
        <v>88</v>
      </c>
      <c r="K263">
        <v>120</v>
      </c>
      <c r="L263">
        <v>60</v>
      </c>
      <c r="M263">
        <v>90</v>
      </c>
      <c r="N263">
        <v>7200</v>
      </c>
      <c r="O263" t="s">
        <v>89</v>
      </c>
      <c r="P263" t="s">
        <v>72</v>
      </c>
      <c r="Q263">
        <v>36000</v>
      </c>
      <c r="R263" t="s">
        <v>72</v>
      </c>
      <c r="S263" t="s">
        <v>73</v>
      </c>
      <c r="T263" t="s">
        <v>74</v>
      </c>
      <c r="U263" t="s">
        <v>90</v>
      </c>
      <c r="V263" t="s">
        <v>935</v>
      </c>
      <c r="W263" t="s">
        <v>76</v>
      </c>
      <c r="X263" t="s">
        <v>119</v>
      </c>
      <c r="Y263">
        <v>2013</v>
      </c>
      <c r="Z263" t="s">
        <v>72</v>
      </c>
      <c r="AA263" t="s">
        <v>72</v>
      </c>
      <c r="AB263" t="s">
        <v>72</v>
      </c>
      <c r="AC263" t="s">
        <v>72</v>
      </c>
      <c r="AD263" t="s">
        <v>72</v>
      </c>
      <c r="AE263">
        <v>0</v>
      </c>
      <c r="AF263" t="s">
        <v>79</v>
      </c>
      <c r="AG263" t="s">
        <v>94</v>
      </c>
      <c r="AH263" t="s">
        <v>95</v>
      </c>
      <c r="AI263" t="s">
        <v>150</v>
      </c>
      <c r="AJ263" t="s">
        <v>113</v>
      </c>
      <c r="AK263">
        <v>0</v>
      </c>
      <c r="AL263">
        <v>0</v>
      </c>
      <c r="AM263">
        <v>0</v>
      </c>
      <c r="AN263" t="s">
        <v>72</v>
      </c>
      <c r="AO263" t="s">
        <v>82</v>
      </c>
      <c r="AP263" t="s">
        <v>72</v>
      </c>
      <c r="AQ263" t="s">
        <v>72</v>
      </c>
      <c r="AR263" t="s">
        <v>72</v>
      </c>
      <c r="AS263" t="s">
        <v>72</v>
      </c>
      <c r="AT263" t="s">
        <v>72</v>
      </c>
      <c r="AU263" t="s">
        <v>72</v>
      </c>
      <c r="AV263" t="s">
        <v>72</v>
      </c>
      <c r="AW263" t="s">
        <v>72</v>
      </c>
      <c r="AX263" t="s">
        <v>103</v>
      </c>
      <c r="AY263">
        <v>32.631900799999997</v>
      </c>
      <c r="AZ263">
        <v>222</v>
      </c>
      <c r="BA263">
        <v>-1.28</v>
      </c>
      <c r="BB263">
        <v>565.78198239999995</v>
      </c>
      <c r="BC263">
        <v>-0.13678899999999999</v>
      </c>
      <c r="BD263">
        <v>0.16115199999999999</v>
      </c>
      <c r="BE263">
        <v>1243.6099853999999</v>
      </c>
      <c r="BF263">
        <v>5.5364798999999998</v>
      </c>
      <c r="BG263">
        <v>0.48148299999999999</v>
      </c>
      <c r="BH263">
        <v>2.0407500000000001</v>
      </c>
      <c r="BI263">
        <v>0.48774699999999999</v>
      </c>
      <c r="BJ263">
        <v>441.94198610000001</v>
      </c>
      <c r="BK263">
        <v>4</v>
      </c>
      <c r="BL263">
        <v>0</v>
      </c>
      <c r="BM263">
        <v>4159.8701172000001</v>
      </c>
      <c r="BN263">
        <v>2240.6799316000001</v>
      </c>
      <c r="BO263">
        <v>271.7900085</v>
      </c>
      <c r="BP263">
        <v>652</v>
      </c>
      <c r="BQ263">
        <v>6</v>
      </c>
      <c r="BR263">
        <v>3</v>
      </c>
    </row>
    <row r="264" spans="1:70" x14ac:dyDescent="0.25">
      <c r="A264">
        <v>261</v>
      </c>
      <c r="B264">
        <v>237</v>
      </c>
      <c r="C264">
        <v>88.474999999999895</v>
      </c>
      <c r="D264">
        <v>27.088000000000001</v>
      </c>
      <c r="E264" t="s">
        <v>937</v>
      </c>
      <c r="F264">
        <v>5</v>
      </c>
      <c r="G264" t="s">
        <v>72</v>
      </c>
      <c r="H264" t="s">
        <v>72</v>
      </c>
      <c r="I264" t="s">
        <v>72</v>
      </c>
      <c r="J264" t="s">
        <v>72</v>
      </c>
      <c r="K264">
        <v>90</v>
      </c>
      <c r="L264">
        <v>60</v>
      </c>
      <c r="M264">
        <v>90</v>
      </c>
      <c r="N264">
        <v>0</v>
      </c>
      <c r="O264" t="s">
        <v>72</v>
      </c>
      <c r="P264" t="s">
        <v>72</v>
      </c>
      <c r="Q264">
        <v>0</v>
      </c>
      <c r="R264" t="s">
        <v>72</v>
      </c>
      <c r="S264" t="s">
        <v>73</v>
      </c>
      <c r="T264" t="s">
        <v>74</v>
      </c>
      <c r="U264" t="s">
        <v>90</v>
      </c>
      <c r="V264" t="s">
        <v>72</v>
      </c>
      <c r="W264" t="s">
        <v>76</v>
      </c>
      <c r="X264" t="s">
        <v>119</v>
      </c>
      <c r="Y264">
        <v>2013</v>
      </c>
      <c r="Z264" t="s">
        <v>72</v>
      </c>
      <c r="AA264" t="s">
        <v>72</v>
      </c>
      <c r="AB264" t="s">
        <v>72</v>
      </c>
      <c r="AC264" t="s">
        <v>72</v>
      </c>
      <c r="AD264" t="s">
        <v>72</v>
      </c>
      <c r="AE264">
        <v>0</v>
      </c>
      <c r="AF264" t="s">
        <v>79</v>
      </c>
      <c r="AG264" t="s">
        <v>94</v>
      </c>
      <c r="AH264" t="s">
        <v>72</v>
      </c>
      <c r="AI264" t="s">
        <v>150</v>
      </c>
      <c r="AJ264" t="s">
        <v>72</v>
      </c>
      <c r="AK264">
        <v>0</v>
      </c>
      <c r="AL264">
        <v>0</v>
      </c>
      <c r="AM264">
        <v>0</v>
      </c>
      <c r="AN264" t="s">
        <v>72</v>
      </c>
      <c r="AO264" t="s">
        <v>82</v>
      </c>
      <c r="AP264" t="s">
        <v>72</v>
      </c>
      <c r="AQ264" t="s">
        <v>72</v>
      </c>
      <c r="AR264" t="s">
        <v>72</v>
      </c>
      <c r="AS264" t="s">
        <v>72</v>
      </c>
      <c r="AT264" t="s">
        <v>904</v>
      </c>
      <c r="AU264" t="s">
        <v>72</v>
      </c>
      <c r="AV264" t="s">
        <v>72</v>
      </c>
      <c r="AW264" t="s">
        <v>72</v>
      </c>
      <c r="AX264" t="s">
        <v>938</v>
      </c>
      <c r="AY264">
        <v>22.406900400000001</v>
      </c>
      <c r="AZ264">
        <v>235</v>
      </c>
      <c r="BA264">
        <v>-2.5599999000000002</v>
      </c>
      <c r="BB264">
        <v>547.55798340000001</v>
      </c>
      <c r="BC264">
        <v>-0.12809699999999999</v>
      </c>
      <c r="BD264">
        <v>0.17774000000000001</v>
      </c>
      <c r="BE264">
        <v>1234.9100341999999</v>
      </c>
      <c r="BF264">
        <v>4.5809698000000001</v>
      </c>
      <c r="BG264">
        <v>0.45926099999999997</v>
      </c>
      <c r="BH264">
        <v>0.43195299999999998</v>
      </c>
      <c r="BI264">
        <v>0.459117</v>
      </c>
      <c r="BJ264">
        <v>436.60598750000003</v>
      </c>
      <c r="BK264">
        <v>4</v>
      </c>
      <c r="BL264">
        <v>0</v>
      </c>
      <c r="BM264">
        <v>4266.2402344000002</v>
      </c>
      <c r="BN264">
        <v>2131.9699707</v>
      </c>
      <c r="BO264">
        <v>309.09399409999997</v>
      </c>
      <c r="BP264">
        <v>671</v>
      </c>
      <c r="BQ264">
        <v>6</v>
      </c>
      <c r="BR264">
        <v>3</v>
      </c>
    </row>
    <row r="265" spans="1:70" x14ac:dyDescent="0.25">
      <c r="A265">
        <v>262</v>
      </c>
      <c r="B265">
        <v>240</v>
      </c>
      <c r="C265">
        <v>88.4759999999999</v>
      </c>
      <c r="D265">
        <v>27.088999999999899</v>
      </c>
      <c r="E265" t="s">
        <v>939</v>
      </c>
      <c r="F265">
        <v>5</v>
      </c>
      <c r="G265" t="s">
        <v>72</v>
      </c>
      <c r="H265" t="s">
        <v>72</v>
      </c>
      <c r="I265" t="s">
        <v>72</v>
      </c>
      <c r="J265" t="s">
        <v>72</v>
      </c>
      <c r="K265">
        <v>60</v>
      </c>
      <c r="L265">
        <v>8</v>
      </c>
      <c r="M265">
        <v>60</v>
      </c>
      <c r="N265">
        <v>0</v>
      </c>
      <c r="O265" t="s">
        <v>72</v>
      </c>
      <c r="P265" t="s">
        <v>940</v>
      </c>
      <c r="Q265">
        <v>0</v>
      </c>
      <c r="R265" t="s">
        <v>72</v>
      </c>
      <c r="S265" t="s">
        <v>73</v>
      </c>
      <c r="T265" t="s">
        <v>74</v>
      </c>
      <c r="U265" t="s">
        <v>90</v>
      </c>
      <c r="V265" t="s">
        <v>72</v>
      </c>
      <c r="W265" t="s">
        <v>76</v>
      </c>
      <c r="X265" t="s">
        <v>119</v>
      </c>
      <c r="Y265">
        <v>2012</v>
      </c>
      <c r="Z265" t="s">
        <v>72</v>
      </c>
      <c r="AA265" t="s">
        <v>72</v>
      </c>
      <c r="AB265" t="s">
        <v>72</v>
      </c>
      <c r="AC265" t="s">
        <v>72</v>
      </c>
      <c r="AD265" t="s">
        <v>941</v>
      </c>
      <c r="AE265">
        <v>0</v>
      </c>
      <c r="AF265" t="s">
        <v>79</v>
      </c>
      <c r="AG265" t="s">
        <v>128</v>
      </c>
      <c r="AH265" t="s">
        <v>72</v>
      </c>
      <c r="AI265" t="s">
        <v>150</v>
      </c>
      <c r="AJ265" t="s">
        <v>72</v>
      </c>
      <c r="AK265">
        <v>0</v>
      </c>
      <c r="AL265">
        <v>0</v>
      </c>
      <c r="AM265">
        <v>0</v>
      </c>
      <c r="AN265" t="s">
        <v>72</v>
      </c>
      <c r="AO265" t="s">
        <v>82</v>
      </c>
      <c r="AP265" t="s">
        <v>72</v>
      </c>
      <c r="AQ265" t="s">
        <v>72</v>
      </c>
      <c r="AR265" t="s">
        <v>72</v>
      </c>
      <c r="AS265" t="s">
        <v>72</v>
      </c>
      <c r="AT265" t="s">
        <v>72</v>
      </c>
      <c r="AU265" t="s">
        <v>72</v>
      </c>
      <c r="AV265" t="s">
        <v>72</v>
      </c>
      <c r="AW265" t="s">
        <v>904</v>
      </c>
      <c r="AX265" t="s">
        <v>72</v>
      </c>
      <c r="AY265">
        <v>25.007900200000002</v>
      </c>
      <c r="AZ265">
        <v>237</v>
      </c>
      <c r="BA265">
        <v>1.28</v>
      </c>
      <c r="BB265">
        <v>545.50097659999994</v>
      </c>
      <c r="BC265">
        <v>-0.162047</v>
      </c>
      <c r="BD265">
        <v>0.218166</v>
      </c>
      <c r="BE265">
        <v>1258.0999756000001</v>
      </c>
      <c r="BF265">
        <v>6.1214899999999997</v>
      </c>
      <c r="BG265">
        <v>0.472221</v>
      </c>
      <c r="BH265">
        <v>2.0122399</v>
      </c>
      <c r="BI265">
        <v>0.45385300000000001</v>
      </c>
      <c r="BJ265">
        <v>450</v>
      </c>
      <c r="BK265">
        <v>4</v>
      </c>
      <c r="BL265">
        <v>0</v>
      </c>
      <c r="BM265">
        <v>4371.5200194999998</v>
      </c>
      <c r="BN265">
        <v>2032.5500488</v>
      </c>
      <c r="BO265">
        <v>329.03601070000002</v>
      </c>
      <c r="BP265">
        <v>673</v>
      </c>
      <c r="BQ265">
        <v>6</v>
      </c>
      <c r="BR265">
        <v>3</v>
      </c>
    </row>
    <row r="266" spans="1:70" x14ac:dyDescent="0.25">
      <c r="A266">
        <v>263</v>
      </c>
      <c r="B266">
        <v>10859</v>
      </c>
      <c r="C266">
        <v>88.476854000000003</v>
      </c>
      <c r="D266">
        <v>27.089476999999899</v>
      </c>
      <c r="E266" t="s">
        <v>942</v>
      </c>
      <c r="F266">
        <v>5</v>
      </c>
      <c r="G266" t="s">
        <v>102</v>
      </c>
      <c r="H266" t="s">
        <v>72</v>
      </c>
      <c r="I266" t="s">
        <v>72</v>
      </c>
      <c r="J266" t="s">
        <v>88</v>
      </c>
      <c r="K266">
        <v>100</v>
      </c>
      <c r="L266">
        <v>8</v>
      </c>
      <c r="M266">
        <v>60</v>
      </c>
      <c r="N266">
        <v>800</v>
      </c>
      <c r="O266" t="s">
        <v>89</v>
      </c>
      <c r="P266" t="s">
        <v>72</v>
      </c>
      <c r="Q266">
        <v>4000</v>
      </c>
      <c r="R266" t="s">
        <v>72</v>
      </c>
      <c r="S266" t="s">
        <v>73</v>
      </c>
      <c r="T266" t="s">
        <v>74</v>
      </c>
      <c r="U266" t="s">
        <v>90</v>
      </c>
      <c r="V266" t="s">
        <v>941</v>
      </c>
      <c r="W266" t="s">
        <v>76</v>
      </c>
      <c r="X266" t="s">
        <v>119</v>
      </c>
      <c r="Y266">
        <v>2012</v>
      </c>
      <c r="Z266" t="s">
        <v>72</v>
      </c>
      <c r="AA266" t="s">
        <v>72</v>
      </c>
      <c r="AB266" t="s">
        <v>72</v>
      </c>
      <c r="AC266" t="s">
        <v>72</v>
      </c>
      <c r="AD266" t="s">
        <v>941</v>
      </c>
      <c r="AE266">
        <v>0</v>
      </c>
      <c r="AF266" t="s">
        <v>79</v>
      </c>
      <c r="AG266" t="s">
        <v>128</v>
      </c>
      <c r="AH266" t="s">
        <v>95</v>
      </c>
      <c r="AI266" t="s">
        <v>150</v>
      </c>
      <c r="AJ266" t="s">
        <v>113</v>
      </c>
      <c r="AK266">
        <v>0</v>
      </c>
      <c r="AL266">
        <v>0</v>
      </c>
      <c r="AM266">
        <v>0</v>
      </c>
      <c r="AN266" t="s">
        <v>181</v>
      </c>
      <c r="AO266" t="s">
        <v>82</v>
      </c>
      <c r="AP266" t="s">
        <v>566</v>
      </c>
      <c r="AQ266" t="s">
        <v>72</v>
      </c>
      <c r="AR266" t="s">
        <v>72</v>
      </c>
      <c r="AS266" t="s">
        <v>72</v>
      </c>
      <c r="AT266" t="s">
        <v>72</v>
      </c>
      <c r="AU266" t="s">
        <v>72</v>
      </c>
      <c r="AV266" t="s">
        <v>72</v>
      </c>
      <c r="AW266" t="s">
        <v>72</v>
      </c>
      <c r="AX266" t="s">
        <v>103</v>
      </c>
      <c r="AY266">
        <v>38.971099899999999</v>
      </c>
      <c r="AZ266">
        <v>207</v>
      </c>
      <c r="BA266">
        <v>-1.92</v>
      </c>
      <c r="BB266">
        <v>549.29797359999998</v>
      </c>
      <c r="BC266">
        <v>-0.15392400000000001</v>
      </c>
      <c r="BD266">
        <v>0.208622</v>
      </c>
      <c r="BE266">
        <v>1318.4399414</v>
      </c>
      <c r="BF266">
        <v>5.5709600000000004</v>
      </c>
      <c r="BG266">
        <v>0.512077</v>
      </c>
      <c r="BH266">
        <v>2.5618701000000001</v>
      </c>
      <c r="BI266">
        <v>0.443826</v>
      </c>
      <c r="BJ266">
        <v>400</v>
      </c>
      <c r="BK266">
        <v>4</v>
      </c>
      <c r="BL266">
        <v>0</v>
      </c>
      <c r="BM266">
        <v>4466.7202147999997</v>
      </c>
      <c r="BN266">
        <v>1941.5300293</v>
      </c>
      <c r="BO266">
        <v>8.5307598000000002</v>
      </c>
      <c r="BP266">
        <v>645</v>
      </c>
      <c r="BQ266">
        <v>6</v>
      </c>
      <c r="BR266">
        <v>3</v>
      </c>
    </row>
    <row r="267" spans="1:70" x14ac:dyDescent="0.25">
      <c r="A267">
        <v>264</v>
      </c>
      <c r="B267">
        <v>10862</v>
      </c>
      <c r="C267">
        <v>88.483973000000006</v>
      </c>
      <c r="D267">
        <v>27.0893839999999</v>
      </c>
      <c r="E267" t="s">
        <v>943</v>
      </c>
      <c r="F267">
        <v>6</v>
      </c>
      <c r="G267" t="s">
        <v>87</v>
      </c>
      <c r="H267" t="s">
        <v>72</v>
      </c>
      <c r="I267" t="s">
        <v>72</v>
      </c>
      <c r="J267" t="s">
        <v>88</v>
      </c>
      <c r="K267">
        <v>450</v>
      </c>
      <c r="L267">
        <v>250</v>
      </c>
      <c r="M267">
        <v>300</v>
      </c>
      <c r="N267">
        <v>112500</v>
      </c>
      <c r="O267" t="s">
        <v>89</v>
      </c>
      <c r="P267" t="s">
        <v>72</v>
      </c>
      <c r="Q267">
        <v>675000</v>
      </c>
      <c r="R267" t="s">
        <v>72</v>
      </c>
      <c r="S267" t="s">
        <v>73</v>
      </c>
      <c r="T267" t="s">
        <v>74</v>
      </c>
      <c r="U267" t="s">
        <v>90</v>
      </c>
      <c r="V267" t="s">
        <v>944</v>
      </c>
      <c r="W267" t="s">
        <v>76</v>
      </c>
      <c r="X267" t="s">
        <v>119</v>
      </c>
      <c r="Y267">
        <v>2012</v>
      </c>
      <c r="Z267" t="s">
        <v>72</v>
      </c>
      <c r="AA267" t="s">
        <v>72</v>
      </c>
      <c r="AB267" t="s">
        <v>72</v>
      </c>
      <c r="AC267" t="s">
        <v>72</v>
      </c>
      <c r="AD267" t="s">
        <v>944</v>
      </c>
      <c r="AE267">
        <v>0</v>
      </c>
      <c r="AF267" t="s">
        <v>148</v>
      </c>
      <c r="AG267" t="s">
        <v>94</v>
      </c>
      <c r="AH267" t="s">
        <v>95</v>
      </c>
      <c r="AI267" t="s">
        <v>80</v>
      </c>
      <c r="AJ267" t="s">
        <v>113</v>
      </c>
      <c r="AK267">
        <v>0</v>
      </c>
      <c r="AL267">
        <v>0</v>
      </c>
      <c r="AM267">
        <v>0</v>
      </c>
      <c r="AN267" t="s">
        <v>181</v>
      </c>
      <c r="AO267" t="s">
        <v>82</v>
      </c>
      <c r="AP267" t="s">
        <v>386</v>
      </c>
      <c r="AQ267" t="s">
        <v>72</v>
      </c>
      <c r="AR267" t="s">
        <v>72</v>
      </c>
      <c r="AS267" t="s">
        <v>72</v>
      </c>
      <c r="AT267" t="s">
        <v>72</v>
      </c>
      <c r="AU267" t="s">
        <v>72</v>
      </c>
      <c r="AV267" t="s">
        <v>72</v>
      </c>
      <c r="AW267" t="s">
        <v>72</v>
      </c>
      <c r="AX267" t="s">
        <v>103</v>
      </c>
      <c r="AY267">
        <v>23.6839008</v>
      </c>
      <c r="AZ267">
        <v>237</v>
      </c>
      <c r="BA267">
        <v>-1.28</v>
      </c>
      <c r="BB267">
        <v>554.22601320000001</v>
      </c>
      <c r="BC267">
        <v>-0.160112</v>
      </c>
      <c r="BD267">
        <v>0.20688899999999999</v>
      </c>
      <c r="BE267">
        <v>1170.0699463000001</v>
      </c>
      <c r="BF267">
        <v>8.7403402000000003</v>
      </c>
      <c r="BG267">
        <v>0.51111200000000001</v>
      </c>
      <c r="BH267">
        <v>4.3795199</v>
      </c>
      <c r="BI267">
        <v>0.28437299999999999</v>
      </c>
      <c r="BJ267">
        <v>280.9030151</v>
      </c>
      <c r="BK267">
        <v>4</v>
      </c>
      <c r="BL267">
        <v>0</v>
      </c>
      <c r="BM267">
        <v>5168.3100586</v>
      </c>
      <c r="BN267">
        <v>1231.3599853999999</v>
      </c>
      <c r="BO267">
        <v>313.15200809999999</v>
      </c>
      <c r="BP267">
        <v>777</v>
      </c>
      <c r="BQ267">
        <v>6</v>
      </c>
      <c r="BR267">
        <v>3</v>
      </c>
    </row>
    <row r="268" spans="1:70" x14ac:dyDescent="0.25">
      <c r="A268">
        <v>265</v>
      </c>
      <c r="B268">
        <v>242</v>
      </c>
      <c r="C268">
        <v>88.486000000000004</v>
      </c>
      <c r="D268">
        <v>27.09</v>
      </c>
      <c r="E268" t="s">
        <v>945</v>
      </c>
      <c r="F268">
        <v>5</v>
      </c>
      <c r="G268" t="s">
        <v>72</v>
      </c>
      <c r="H268" t="s">
        <v>72</v>
      </c>
      <c r="I268" t="s">
        <v>72</v>
      </c>
      <c r="J268" t="s">
        <v>72</v>
      </c>
      <c r="K268">
        <v>300</v>
      </c>
      <c r="L268">
        <v>250</v>
      </c>
      <c r="M268">
        <v>300</v>
      </c>
      <c r="N268">
        <v>0</v>
      </c>
      <c r="O268" t="s">
        <v>72</v>
      </c>
      <c r="P268" t="s">
        <v>72</v>
      </c>
      <c r="Q268">
        <v>0</v>
      </c>
      <c r="R268" t="s">
        <v>72</v>
      </c>
      <c r="S268" t="s">
        <v>73</v>
      </c>
      <c r="T268" t="s">
        <v>74</v>
      </c>
      <c r="U268" t="s">
        <v>90</v>
      </c>
      <c r="V268" t="s">
        <v>72</v>
      </c>
      <c r="W268" t="s">
        <v>72</v>
      </c>
      <c r="X268" t="s">
        <v>119</v>
      </c>
      <c r="Y268">
        <v>2013</v>
      </c>
      <c r="Z268" t="s">
        <v>72</v>
      </c>
      <c r="AA268" t="s">
        <v>72</v>
      </c>
      <c r="AB268" t="s">
        <v>72</v>
      </c>
      <c r="AC268" t="s">
        <v>72</v>
      </c>
      <c r="AD268" t="s">
        <v>72</v>
      </c>
      <c r="AE268">
        <v>0</v>
      </c>
      <c r="AF268" t="s">
        <v>148</v>
      </c>
      <c r="AG268" t="s">
        <v>94</v>
      </c>
      <c r="AH268" t="s">
        <v>72</v>
      </c>
      <c r="AI268" t="s">
        <v>80</v>
      </c>
      <c r="AJ268" t="s">
        <v>72</v>
      </c>
      <c r="AK268">
        <v>0</v>
      </c>
      <c r="AL268">
        <v>0</v>
      </c>
      <c r="AM268">
        <v>0</v>
      </c>
      <c r="AN268" t="s">
        <v>72</v>
      </c>
      <c r="AO268" t="s">
        <v>72</v>
      </c>
      <c r="AP268" t="s">
        <v>72</v>
      </c>
      <c r="AQ268" t="s">
        <v>72</v>
      </c>
      <c r="AR268" t="s">
        <v>72</v>
      </c>
      <c r="AS268" t="s">
        <v>72</v>
      </c>
      <c r="AT268" t="s">
        <v>904</v>
      </c>
      <c r="AU268" t="s">
        <v>72</v>
      </c>
      <c r="AV268" t="s">
        <v>72</v>
      </c>
      <c r="AW268" t="s">
        <v>72</v>
      </c>
      <c r="AX268" t="s">
        <v>946</v>
      </c>
      <c r="AY268">
        <v>30.290199300000001</v>
      </c>
      <c r="AZ268">
        <v>245</v>
      </c>
      <c r="BA268">
        <v>0.64</v>
      </c>
      <c r="BB268">
        <v>577.2849731</v>
      </c>
      <c r="BC268">
        <v>-0.16573299999999999</v>
      </c>
      <c r="BD268">
        <v>0.21079000000000001</v>
      </c>
      <c r="BE268">
        <v>1073.9100341999999</v>
      </c>
      <c r="BF268">
        <v>6.5103302000000003</v>
      </c>
      <c r="BG268">
        <v>0.53333399999999997</v>
      </c>
      <c r="BH268">
        <v>2.5713601000000001</v>
      </c>
      <c r="BI268">
        <v>0.21729200000000001</v>
      </c>
      <c r="BJ268">
        <v>213.6000061</v>
      </c>
      <c r="BK268">
        <v>4</v>
      </c>
      <c r="BL268">
        <v>0</v>
      </c>
      <c r="BM268">
        <v>5375.8701172000001</v>
      </c>
      <c r="BN268">
        <v>1026.9000243999999</v>
      </c>
      <c r="BO268">
        <v>308.0469971</v>
      </c>
      <c r="BP268">
        <v>811</v>
      </c>
      <c r="BQ268">
        <v>6</v>
      </c>
      <c r="BR268">
        <v>3</v>
      </c>
    </row>
    <row r="269" spans="1:70" x14ac:dyDescent="0.25">
      <c r="A269">
        <v>266</v>
      </c>
      <c r="B269">
        <v>10286</v>
      </c>
      <c r="C269">
        <v>88.47193</v>
      </c>
      <c r="D269">
        <v>27.108577</v>
      </c>
      <c r="E269" t="s">
        <v>947</v>
      </c>
      <c r="F269">
        <v>2</v>
      </c>
      <c r="G269" t="s">
        <v>130</v>
      </c>
      <c r="H269" t="s">
        <v>72</v>
      </c>
      <c r="I269" t="s">
        <v>72</v>
      </c>
      <c r="J269" t="s">
        <v>88</v>
      </c>
      <c r="K269">
        <v>50</v>
      </c>
      <c r="L269">
        <v>40</v>
      </c>
      <c r="M269">
        <v>30</v>
      </c>
      <c r="N269">
        <v>2000</v>
      </c>
      <c r="O269" t="s">
        <v>89</v>
      </c>
      <c r="P269" t="s">
        <v>72</v>
      </c>
      <c r="Q269">
        <v>4000</v>
      </c>
      <c r="R269" t="s">
        <v>72</v>
      </c>
      <c r="S269" t="s">
        <v>73</v>
      </c>
      <c r="T269" t="s">
        <v>74</v>
      </c>
      <c r="U269" t="s">
        <v>90</v>
      </c>
      <c r="V269" t="s">
        <v>948</v>
      </c>
      <c r="W269" t="s">
        <v>76</v>
      </c>
      <c r="X269" t="s">
        <v>119</v>
      </c>
      <c r="Y269">
        <v>2007</v>
      </c>
      <c r="Z269" t="s">
        <v>72</v>
      </c>
      <c r="AA269" t="s">
        <v>72</v>
      </c>
      <c r="AB269" t="s">
        <v>72</v>
      </c>
      <c r="AC269" t="s">
        <v>72</v>
      </c>
      <c r="AD269" t="s">
        <v>949</v>
      </c>
      <c r="AE269">
        <v>0</v>
      </c>
      <c r="AF269" t="s">
        <v>79</v>
      </c>
      <c r="AG269" t="s">
        <v>94</v>
      </c>
      <c r="AH269" t="s">
        <v>95</v>
      </c>
      <c r="AI269" t="s">
        <v>121</v>
      </c>
      <c r="AJ269" t="s">
        <v>97</v>
      </c>
      <c r="AK269">
        <v>0</v>
      </c>
      <c r="AL269">
        <v>0</v>
      </c>
      <c r="AM269">
        <v>0</v>
      </c>
      <c r="AN269" t="s">
        <v>271</v>
      </c>
      <c r="AO269" t="s">
        <v>82</v>
      </c>
      <c r="AP269" t="s">
        <v>272</v>
      </c>
      <c r="AQ269" t="s">
        <v>72</v>
      </c>
      <c r="AR269" t="s">
        <v>72</v>
      </c>
      <c r="AS269" t="s">
        <v>72</v>
      </c>
      <c r="AT269" t="s">
        <v>950</v>
      </c>
      <c r="AU269" t="s">
        <v>72</v>
      </c>
      <c r="AV269" t="s">
        <v>951</v>
      </c>
      <c r="AW269" t="s">
        <v>72</v>
      </c>
      <c r="AX269" t="s">
        <v>952</v>
      </c>
      <c r="AY269">
        <v>11.527999899999999</v>
      </c>
      <c r="AZ269">
        <v>196</v>
      </c>
      <c r="BA269">
        <v>1.28</v>
      </c>
      <c r="BB269">
        <v>510.76000979999998</v>
      </c>
      <c r="BC269">
        <v>-0.13270499999999999</v>
      </c>
      <c r="BD269">
        <v>0.16458900000000001</v>
      </c>
      <c r="BE269">
        <v>425.18399049999999</v>
      </c>
      <c r="BF269">
        <v>4.1155600999999997</v>
      </c>
      <c r="BG269">
        <v>0.59258999999999995</v>
      </c>
      <c r="BH269">
        <v>-8.4926901000000008</v>
      </c>
      <c r="BI269">
        <v>0.62994300000000003</v>
      </c>
      <c r="BJ269">
        <v>550</v>
      </c>
      <c r="BK269">
        <v>7</v>
      </c>
      <c r="BL269">
        <v>0</v>
      </c>
      <c r="BM269">
        <v>4870.1298827999999</v>
      </c>
      <c r="BN269">
        <v>2913.1699219000002</v>
      </c>
      <c r="BO269">
        <v>258.69000240000003</v>
      </c>
      <c r="BP269">
        <v>449</v>
      </c>
      <c r="BQ269">
        <v>6</v>
      </c>
      <c r="BR269">
        <v>3</v>
      </c>
    </row>
    <row r="270" spans="1:70" x14ac:dyDescent="0.25">
      <c r="A270">
        <v>267</v>
      </c>
      <c r="B270">
        <v>225</v>
      </c>
      <c r="C270">
        <v>88.469999999999899</v>
      </c>
      <c r="D270">
        <v>27.1099999999999</v>
      </c>
      <c r="E270" t="s">
        <v>953</v>
      </c>
      <c r="F270">
        <v>1.5</v>
      </c>
      <c r="G270" t="s">
        <v>648</v>
      </c>
      <c r="H270" t="s">
        <v>72</v>
      </c>
      <c r="I270" t="s">
        <v>72</v>
      </c>
      <c r="J270" t="s">
        <v>72</v>
      </c>
      <c r="K270">
        <v>30</v>
      </c>
      <c r="L270">
        <v>40</v>
      </c>
      <c r="M270">
        <v>30</v>
      </c>
      <c r="N270">
        <v>0</v>
      </c>
      <c r="O270" t="s">
        <v>72</v>
      </c>
      <c r="P270" t="s">
        <v>649</v>
      </c>
      <c r="Q270">
        <v>0</v>
      </c>
      <c r="R270" t="s">
        <v>72</v>
      </c>
      <c r="S270" t="s">
        <v>73</v>
      </c>
      <c r="T270" t="s">
        <v>74</v>
      </c>
      <c r="U270" t="s">
        <v>90</v>
      </c>
      <c r="V270" t="s">
        <v>72</v>
      </c>
      <c r="W270" t="s">
        <v>76</v>
      </c>
      <c r="X270" t="s">
        <v>72</v>
      </c>
      <c r="Y270">
        <v>0</v>
      </c>
      <c r="Z270" t="s">
        <v>72</v>
      </c>
      <c r="AA270" t="s">
        <v>72</v>
      </c>
      <c r="AB270" t="s">
        <v>72</v>
      </c>
      <c r="AC270" t="s">
        <v>72</v>
      </c>
      <c r="AD270" t="s">
        <v>954</v>
      </c>
      <c r="AE270">
        <v>0</v>
      </c>
      <c r="AF270" t="s">
        <v>79</v>
      </c>
      <c r="AG270" t="s">
        <v>94</v>
      </c>
      <c r="AH270" t="s">
        <v>72</v>
      </c>
      <c r="AI270" t="s">
        <v>121</v>
      </c>
      <c r="AJ270" t="s">
        <v>97</v>
      </c>
      <c r="AK270">
        <v>0</v>
      </c>
      <c r="AL270">
        <v>0</v>
      </c>
      <c r="AM270">
        <v>0</v>
      </c>
      <c r="AN270" t="s">
        <v>72</v>
      </c>
      <c r="AO270" t="s">
        <v>72</v>
      </c>
      <c r="AP270" t="s">
        <v>72</v>
      </c>
      <c r="AQ270" t="s">
        <v>72</v>
      </c>
      <c r="AR270" t="s">
        <v>72</v>
      </c>
      <c r="AS270" t="s">
        <v>72</v>
      </c>
      <c r="AT270" t="s">
        <v>72</v>
      </c>
      <c r="AU270" t="s">
        <v>72</v>
      </c>
      <c r="AV270" t="s">
        <v>955</v>
      </c>
      <c r="AW270" t="s">
        <v>72</v>
      </c>
      <c r="AX270" t="s">
        <v>72</v>
      </c>
      <c r="AY270">
        <v>18.081699400000002</v>
      </c>
      <c r="AZ270">
        <v>224</v>
      </c>
      <c r="BA270">
        <v>1.92</v>
      </c>
      <c r="BB270">
        <v>497.243988</v>
      </c>
      <c r="BC270">
        <v>-0.124123</v>
      </c>
      <c r="BD270">
        <v>0.171293</v>
      </c>
      <c r="BE270">
        <v>228.10400390000001</v>
      </c>
      <c r="BF270">
        <v>6.6256598999999996</v>
      </c>
      <c r="BG270">
        <v>0.55555600000000005</v>
      </c>
      <c r="BH270">
        <v>1.6270601</v>
      </c>
      <c r="BI270">
        <v>0.681782</v>
      </c>
      <c r="BJ270">
        <v>324.2780151</v>
      </c>
      <c r="BK270">
        <v>7</v>
      </c>
      <c r="BL270">
        <v>0</v>
      </c>
      <c r="BM270">
        <v>4817.4301758000001</v>
      </c>
      <c r="BN270">
        <v>3143.2700195000002</v>
      </c>
      <c r="BO270">
        <v>297.35000609999997</v>
      </c>
      <c r="BP270">
        <v>385</v>
      </c>
      <c r="BQ270">
        <v>6</v>
      </c>
      <c r="BR270">
        <v>3</v>
      </c>
    </row>
    <row r="271" spans="1:70" x14ac:dyDescent="0.25">
      <c r="A271">
        <v>268</v>
      </c>
      <c r="B271">
        <v>391</v>
      </c>
      <c r="C271">
        <v>88.471999999999895</v>
      </c>
      <c r="D271">
        <v>27.113</v>
      </c>
      <c r="E271" t="s">
        <v>956</v>
      </c>
      <c r="F271">
        <v>2</v>
      </c>
      <c r="G271" t="s">
        <v>648</v>
      </c>
      <c r="H271" t="s">
        <v>72</v>
      </c>
      <c r="I271" t="s">
        <v>72</v>
      </c>
      <c r="J271" t="s">
        <v>72</v>
      </c>
      <c r="K271">
        <v>60</v>
      </c>
      <c r="L271">
        <v>40</v>
      </c>
      <c r="M271">
        <v>60</v>
      </c>
      <c r="N271">
        <v>0</v>
      </c>
      <c r="O271" t="s">
        <v>72</v>
      </c>
      <c r="P271" t="s">
        <v>649</v>
      </c>
      <c r="Q271">
        <v>0</v>
      </c>
      <c r="R271" t="s">
        <v>72</v>
      </c>
      <c r="S271" t="s">
        <v>73</v>
      </c>
      <c r="T271" t="s">
        <v>74</v>
      </c>
      <c r="U271" t="s">
        <v>90</v>
      </c>
      <c r="V271" t="s">
        <v>72</v>
      </c>
      <c r="W271" t="s">
        <v>76</v>
      </c>
      <c r="X271" t="s">
        <v>77</v>
      </c>
      <c r="Y271">
        <v>0</v>
      </c>
      <c r="Z271" t="s">
        <v>72</v>
      </c>
      <c r="AA271" t="s">
        <v>72</v>
      </c>
      <c r="AB271" t="s">
        <v>72</v>
      </c>
      <c r="AC271" t="s">
        <v>72</v>
      </c>
      <c r="AD271" t="s">
        <v>957</v>
      </c>
      <c r="AE271">
        <v>0</v>
      </c>
      <c r="AF271" t="s">
        <v>79</v>
      </c>
      <c r="AG271" t="s">
        <v>94</v>
      </c>
      <c r="AH271" t="s">
        <v>72</v>
      </c>
      <c r="AI271" t="s">
        <v>96</v>
      </c>
      <c r="AJ271" t="s">
        <v>97</v>
      </c>
      <c r="AK271">
        <v>0</v>
      </c>
      <c r="AL271">
        <v>0</v>
      </c>
      <c r="AM271">
        <v>0</v>
      </c>
      <c r="AN271" t="s">
        <v>72</v>
      </c>
      <c r="AO271" t="s">
        <v>72</v>
      </c>
      <c r="AP271" t="s">
        <v>72</v>
      </c>
      <c r="AQ271" t="s">
        <v>72</v>
      </c>
      <c r="AR271" t="s">
        <v>72</v>
      </c>
      <c r="AS271" t="s">
        <v>72</v>
      </c>
      <c r="AT271" t="s">
        <v>72</v>
      </c>
      <c r="AU271" t="s">
        <v>72</v>
      </c>
      <c r="AV271" t="s">
        <v>652</v>
      </c>
      <c r="AW271" t="s">
        <v>72</v>
      </c>
      <c r="AX271" t="s">
        <v>72</v>
      </c>
      <c r="AY271">
        <v>18.868400600000001</v>
      </c>
      <c r="AZ271">
        <v>223</v>
      </c>
      <c r="BA271">
        <v>-1.92</v>
      </c>
      <c r="BB271">
        <v>496.68899540000001</v>
      </c>
      <c r="BC271">
        <v>-0.119051</v>
      </c>
      <c r="BD271">
        <v>0.175645</v>
      </c>
      <c r="BE271">
        <v>225.3470001</v>
      </c>
      <c r="BF271">
        <v>7.7737597999999997</v>
      </c>
      <c r="BG271">
        <v>0.43434299999999998</v>
      </c>
      <c r="BH271">
        <v>3.0881701000000001</v>
      </c>
      <c r="BI271">
        <v>0.79583700000000002</v>
      </c>
      <c r="BJ271">
        <v>343.23800660000001</v>
      </c>
      <c r="BK271">
        <v>7</v>
      </c>
      <c r="BL271">
        <v>0</v>
      </c>
      <c r="BM271">
        <v>5179.9599608999997</v>
      </c>
      <c r="BN271">
        <v>3122.6999512000002</v>
      </c>
      <c r="BO271">
        <v>290.5559998</v>
      </c>
      <c r="BP271">
        <v>374</v>
      </c>
      <c r="BQ271">
        <v>6</v>
      </c>
      <c r="BR271">
        <v>3</v>
      </c>
    </row>
    <row r="272" spans="1:70" x14ac:dyDescent="0.25">
      <c r="A272">
        <v>269</v>
      </c>
      <c r="B272">
        <v>10340</v>
      </c>
      <c r="C272">
        <v>88.473218000000003</v>
      </c>
      <c r="D272">
        <v>27.113033000000001</v>
      </c>
      <c r="E272" t="s">
        <v>958</v>
      </c>
      <c r="F272">
        <v>20</v>
      </c>
      <c r="G272" t="s">
        <v>102</v>
      </c>
      <c r="H272" t="s">
        <v>72</v>
      </c>
      <c r="I272" t="s">
        <v>72</v>
      </c>
      <c r="J272" t="s">
        <v>88</v>
      </c>
      <c r="K272">
        <v>25</v>
      </c>
      <c r="L272">
        <v>100</v>
      </c>
      <c r="M272">
        <v>15</v>
      </c>
      <c r="N272">
        <v>2500</v>
      </c>
      <c r="O272" t="s">
        <v>89</v>
      </c>
      <c r="P272" t="s">
        <v>72</v>
      </c>
      <c r="Q272">
        <v>50000</v>
      </c>
      <c r="R272" t="s">
        <v>72</v>
      </c>
      <c r="S272" t="s">
        <v>73</v>
      </c>
      <c r="T272" t="s">
        <v>74</v>
      </c>
      <c r="U272" t="s">
        <v>90</v>
      </c>
      <c r="V272" t="s">
        <v>702</v>
      </c>
      <c r="W272" t="s">
        <v>159</v>
      </c>
      <c r="X272" t="s">
        <v>119</v>
      </c>
      <c r="Y272">
        <v>2015</v>
      </c>
      <c r="Z272" t="s">
        <v>72</v>
      </c>
      <c r="AA272" t="s">
        <v>72</v>
      </c>
      <c r="AB272" t="s">
        <v>72</v>
      </c>
      <c r="AC272" t="s">
        <v>72</v>
      </c>
      <c r="AD272" t="s">
        <v>918</v>
      </c>
      <c r="AE272">
        <v>0</v>
      </c>
      <c r="AF272" t="s">
        <v>186</v>
      </c>
      <c r="AG272" t="s">
        <v>94</v>
      </c>
      <c r="AH272" t="s">
        <v>95</v>
      </c>
      <c r="AI272" t="s">
        <v>80</v>
      </c>
      <c r="AJ272" t="s">
        <v>97</v>
      </c>
      <c r="AK272">
        <v>2016</v>
      </c>
      <c r="AL272">
        <v>0</v>
      </c>
      <c r="AM272">
        <v>0</v>
      </c>
      <c r="AN272" t="s">
        <v>72</v>
      </c>
      <c r="AO272" t="s">
        <v>72</v>
      </c>
      <c r="AP272" t="s">
        <v>72</v>
      </c>
      <c r="AQ272" t="s">
        <v>72</v>
      </c>
      <c r="AR272" t="s">
        <v>72</v>
      </c>
      <c r="AS272" t="s">
        <v>72</v>
      </c>
      <c r="AT272" t="s">
        <v>72</v>
      </c>
      <c r="AU272" t="s">
        <v>72</v>
      </c>
      <c r="AV272" t="s">
        <v>72</v>
      </c>
      <c r="AW272" t="s">
        <v>72</v>
      </c>
      <c r="AX272" t="s">
        <v>72</v>
      </c>
      <c r="AY272">
        <v>24.5370998</v>
      </c>
      <c r="AZ272">
        <v>235</v>
      </c>
      <c r="BA272">
        <v>0</v>
      </c>
      <c r="BB272">
        <v>500.97601320000001</v>
      </c>
      <c r="BC272">
        <v>-0.12848200000000001</v>
      </c>
      <c r="BD272">
        <v>0.18249599999999999</v>
      </c>
      <c r="BE272">
        <v>350.22299190000001</v>
      </c>
      <c r="BF272">
        <v>3.2805300000000002</v>
      </c>
      <c r="BG272">
        <v>0.466667</v>
      </c>
      <c r="BH272">
        <v>-7.6604299999999999</v>
      </c>
      <c r="BI272">
        <v>0.76291299999999995</v>
      </c>
      <c r="BJ272">
        <v>466.70400999999998</v>
      </c>
      <c r="BK272">
        <v>7</v>
      </c>
      <c r="BL272">
        <v>0</v>
      </c>
      <c r="BM272">
        <v>5274.1298827999999</v>
      </c>
      <c r="BN272">
        <v>3014.2399902000002</v>
      </c>
      <c r="BO272">
        <v>298.81100459999999</v>
      </c>
      <c r="BP272">
        <v>424</v>
      </c>
      <c r="BQ272">
        <v>6</v>
      </c>
      <c r="BR272">
        <v>3</v>
      </c>
    </row>
    <row r="273" spans="1:70" x14ac:dyDescent="0.25">
      <c r="A273">
        <v>270</v>
      </c>
      <c r="B273">
        <v>10287</v>
      </c>
      <c r="C273">
        <v>88.473209999999895</v>
      </c>
      <c r="D273">
        <v>27.1130409999999</v>
      </c>
      <c r="E273" t="s">
        <v>959</v>
      </c>
      <c r="F273">
        <v>2</v>
      </c>
      <c r="G273" t="s">
        <v>130</v>
      </c>
      <c r="H273" t="s">
        <v>72</v>
      </c>
      <c r="I273" t="s">
        <v>72</v>
      </c>
      <c r="J273" t="s">
        <v>88</v>
      </c>
      <c r="K273">
        <v>100</v>
      </c>
      <c r="L273">
        <v>40</v>
      </c>
      <c r="M273">
        <v>60</v>
      </c>
      <c r="N273">
        <v>4000</v>
      </c>
      <c r="O273" t="s">
        <v>89</v>
      </c>
      <c r="P273" t="s">
        <v>72</v>
      </c>
      <c r="Q273">
        <v>8000</v>
      </c>
      <c r="R273" t="s">
        <v>72</v>
      </c>
      <c r="S273" t="s">
        <v>73</v>
      </c>
      <c r="T273" t="s">
        <v>74</v>
      </c>
      <c r="U273" t="s">
        <v>90</v>
      </c>
      <c r="V273" t="s">
        <v>960</v>
      </c>
      <c r="W273" t="s">
        <v>76</v>
      </c>
      <c r="X273" t="s">
        <v>77</v>
      </c>
      <c r="Y273">
        <v>2007</v>
      </c>
      <c r="Z273" t="s">
        <v>72</v>
      </c>
      <c r="AA273" t="s">
        <v>72</v>
      </c>
      <c r="AB273" t="s">
        <v>72</v>
      </c>
      <c r="AC273" t="s">
        <v>72</v>
      </c>
      <c r="AD273" t="s">
        <v>961</v>
      </c>
      <c r="AE273">
        <v>0</v>
      </c>
      <c r="AF273" t="s">
        <v>79</v>
      </c>
      <c r="AG273" t="s">
        <v>94</v>
      </c>
      <c r="AH273" t="s">
        <v>95</v>
      </c>
      <c r="AI273" t="s">
        <v>96</v>
      </c>
      <c r="AJ273" t="s">
        <v>97</v>
      </c>
      <c r="AK273">
        <v>0</v>
      </c>
      <c r="AL273">
        <v>0</v>
      </c>
      <c r="AM273">
        <v>0</v>
      </c>
      <c r="AN273" t="s">
        <v>192</v>
      </c>
      <c r="AO273" t="s">
        <v>82</v>
      </c>
      <c r="AP273" t="s">
        <v>99</v>
      </c>
      <c r="AQ273" t="s">
        <v>72</v>
      </c>
      <c r="AR273" t="s">
        <v>72</v>
      </c>
      <c r="AS273" t="s">
        <v>72</v>
      </c>
      <c r="AT273" t="s">
        <v>550</v>
      </c>
      <c r="AU273" t="s">
        <v>72</v>
      </c>
      <c r="AV273" t="s">
        <v>962</v>
      </c>
      <c r="AW273" t="s">
        <v>72</v>
      </c>
      <c r="AX273" t="s">
        <v>963</v>
      </c>
      <c r="AY273">
        <v>24.5370998</v>
      </c>
      <c r="AZ273">
        <v>235</v>
      </c>
      <c r="BA273">
        <v>0</v>
      </c>
      <c r="BB273">
        <v>500.97601320000001</v>
      </c>
      <c r="BC273">
        <v>-0.12848200000000001</v>
      </c>
      <c r="BD273">
        <v>0.18249599999999999</v>
      </c>
      <c r="BE273">
        <v>350.22299190000001</v>
      </c>
      <c r="BF273">
        <v>3.2805300000000002</v>
      </c>
      <c r="BG273">
        <v>0.466667</v>
      </c>
      <c r="BH273">
        <v>-7.6604299999999999</v>
      </c>
      <c r="BI273">
        <v>0.76291299999999995</v>
      </c>
      <c r="BJ273">
        <v>466.70400999999998</v>
      </c>
      <c r="BK273">
        <v>7</v>
      </c>
      <c r="BL273">
        <v>0</v>
      </c>
      <c r="BM273">
        <v>5274.1298827999999</v>
      </c>
      <c r="BN273">
        <v>3014.2399902000002</v>
      </c>
      <c r="BO273">
        <v>298.81100459999999</v>
      </c>
      <c r="BP273">
        <v>424</v>
      </c>
      <c r="BQ273">
        <v>6</v>
      </c>
      <c r="BR273">
        <v>3</v>
      </c>
    </row>
    <row r="274" spans="1:70" x14ac:dyDescent="0.25">
      <c r="A274">
        <v>271</v>
      </c>
      <c r="B274">
        <v>345</v>
      </c>
      <c r="C274">
        <v>88.495000000000005</v>
      </c>
      <c r="D274">
        <v>27.1099999999999</v>
      </c>
      <c r="E274" t="s">
        <v>964</v>
      </c>
      <c r="F274">
        <v>2</v>
      </c>
      <c r="G274" t="s">
        <v>648</v>
      </c>
      <c r="H274" t="s">
        <v>72</v>
      </c>
      <c r="I274" t="s">
        <v>72</v>
      </c>
      <c r="J274" t="s">
        <v>72</v>
      </c>
      <c r="K274">
        <v>25</v>
      </c>
      <c r="L274">
        <v>30</v>
      </c>
      <c r="M274">
        <v>25</v>
      </c>
      <c r="N274">
        <v>0</v>
      </c>
      <c r="O274" t="s">
        <v>72</v>
      </c>
      <c r="P274" t="s">
        <v>649</v>
      </c>
      <c r="Q274">
        <v>0</v>
      </c>
      <c r="R274" t="s">
        <v>72</v>
      </c>
      <c r="S274" t="s">
        <v>73</v>
      </c>
      <c r="T274" t="s">
        <v>74</v>
      </c>
      <c r="U274" t="s">
        <v>90</v>
      </c>
      <c r="V274" t="s">
        <v>72</v>
      </c>
      <c r="W274" t="s">
        <v>76</v>
      </c>
      <c r="X274" t="s">
        <v>77</v>
      </c>
      <c r="Y274">
        <v>0</v>
      </c>
      <c r="Z274" t="s">
        <v>72</v>
      </c>
      <c r="AA274" t="s">
        <v>72</v>
      </c>
      <c r="AB274" t="s">
        <v>72</v>
      </c>
      <c r="AC274" t="s">
        <v>72</v>
      </c>
      <c r="AD274" t="s">
        <v>965</v>
      </c>
      <c r="AE274">
        <v>0</v>
      </c>
      <c r="AF274" t="s">
        <v>79</v>
      </c>
      <c r="AG274" t="s">
        <v>94</v>
      </c>
      <c r="AH274" t="s">
        <v>72</v>
      </c>
      <c r="AI274" t="s">
        <v>96</v>
      </c>
      <c r="AJ274" t="s">
        <v>97</v>
      </c>
      <c r="AK274">
        <v>0</v>
      </c>
      <c r="AL274">
        <v>0</v>
      </c>
      <c r="AM274">
        <v>0</v>
      </c>
      <c r="AN274" t="s">
        <v>72</v>
      </c>
      <c r="AO274" t="s">
        <v>72</v>
      </c>
      <c r="AP274" t="s">
        <v>72</v>
      </c>
      <c r="AQ274" t="s">
        <v>72</v>
      </c>
      <c r="AR274" t="s">
        <v>72</v>
      </c>
      <c r="AS274" t="s">
        <v>72</v>
      </c>
      <c r="AT274" t="s">
        <v>72</v>
      </c>
      <c r="AU274" t="s">
        <v>72</v>
      </c>
      <c r="AV274" t="s">
        <v>966</v>
      </c>
      <c r="AW274" t="s">
        <v>72</v>
      </c>
      <c r="AX274" t="s">
        <v>72</v>
      </c>
      <c r="AY274">
        <v>21.801399199999999</v>
      </c>
      <c r="AZ274">
        <v>233</v>
      </c>
      <c r="BA274">
        <v>0</v>
      </c>
      <c r="BB274">
        <v>578.57299799999998</v>
      </c>
      <c r="BC274">
        <v>-0.16600899999999999</v>
      </c>
      <c r="BD274">
        <v>0.218108</v>
      </c>
      <c r="BE274">
        <v>1262.5</v>
      </c>
      <c r="BF274">
        <v>6.0013800000000002</v>
      </c>
      <c r="BG274">
        <v>0.5</v>
      </c>
      <c r="BH274">
        <v>1.5767800000000001</v>
      </c>
      <c r="BI274">
        <v>0.42707299999999998</v>
      </c>
      <c r="BJ274">
        <v>512.5</v>
      </c>
      <c r="BK274">
        <v>4</v>
      </c>
      <c r="BL274">
        <v>0</v>
      </c>
      <c r="BM274">
        <v>6915.2202147999997</v>
      </c>
      <c r="BN274">
        <v>1300.7800293</v>
      </c>
      <c r="BO274">
        <v>323.13000490000002</v>
      </c>
      <c r="BP274">
        <v>660</v>
      </c>
      <c r="BQ274">
        <v>6</v>
      </c>
      <c r="BR274">
        <v>3</v>
      </c>
    </row>
    <row r="275" spans="1:70" x14ac:dyDescent="0.25">
      <c r="A275">
        <v>272</v>
      </c>
      <c r="B275">
        <v>8943</v>
      </c>
      <c r="C275">
        <v>88.430722000000003</v>
      </c>
      <c r="D275">
        <v>27.15625</v>
      </c>
      <c r="E275" t="s">
        <v>967</v>
      </c>
      <c r="F275">
        <v>2.5</v>
      </c>
      <c r="G275" t="s">
        <v>225</v>
      </c>
      <c r="H275" t="s">
        <v>968</v>
      </c>
      <c r="I275" t="s">
        <v>72</v>
      </c>
      <c r="J275" t="s">
        <v>562</v>
      </c>
      <c r="K275">
        <v>15</v>
      </c>
      <c r="L275">
        <v>140</v>
      </c>
      <c r="M275">
        <v>12</v>
      </c>
      <c r="N275">
        <v>2100</v>
      </c>
      <c r="O275" t="s">
        <v>89</v>
      </c>
      <c r="P275" t="s">
        <v>72</v>
      </c>
      <c r="Q275">
        <v>3360</v>
      </c>
      <c r="R275" t="s">
        <v>72</v>
      </c>
      <c r="S275" t="s">
        <v>563</v>
      </c>
      <c r="T275" t="s">
        <v>564</v>
      </c>
      <c r="U275" t="s">
        <v>90</v>
      </c>
      <c r="V275" t="s">
        <v>72</v>
      </c>
      <c r="W275" t="s">
        <v>92</v>
      </c>
      <c r="X275" t="s">
        <v>77</v>
      </c>
      <c r="Y275">
        <v>0</v>
      </c>
      <c r="Z275" t="s">
        <v>72</v>
      </c>
      <c r="AA275" t="s">
        <v>72</v>
      </c>
      <c r="AB275" t="s">
        <v>72</v>
      </c>
      <c r="AC275" t="s">
        <v>72</v>
      </c>
      <c r="AD275" t="s">
        <v>969</v>
      </c>
      <c r="AE275">
        <v>30</v>
      </c>
      <c r="AF275" t="s">
        <v>79</v>
      </c>
      <c r="AG275" t="s">
        <v>94</v>
      </c>
      <c r="AH275" t="s">
        <v>95</v>
      </c>
      <c r="AI275" t="s">
        <v>121</v>
      </c>
      <c r="AJ275" t="s">
        <v>97</v>
      </c>
      <c r="AK275">
        <v>0</v>
      </c>
      <c r="AL275">
        <v>0</v>
      </c>
      <c r="AM275">
        <v>0</v>
      </c>
      <c r="AN275" t="s">
        <v>98</v>
      </c>
      <c r="AO275" t="s">
        <v>107</v>
      </c>
      <c r="AP275" t="s">
        <v>386</v>
      </c>
      <c r="AQ275" t="s">
        <v>72</v>
      </c>
      <c r="AR275" t="s">
        <v>72</v>
      </c>
      <c r="AS275" t="s">
        <v>72</v>
      </c>
      <c r="AT275" t="s">
        <v>72</v>
      </c>
      <c r="AU275" t="s">
        <v>72</v>
      </c>
      <c r="AV275" t="s">
        <v>567</v>
      </c>
      <c r="AW275" t="s">
        <v>72</v>
      </c>
      <c r="AX275" t="s">
        <v>568</v>
      </c>
      <c r="AY275">
        <v>39.905799899999998</v>
      </c>
      <c r="AZ275">
        <v>146</v>
      </c>
      <c r="BA275">
        <v>1.28</v>
      </c>
      <c r="BB275">
        <v>560.46997069999998</v>
      </c>
      <c r="BC275">
        <v>-0.191638</v>
      </c>
      <c r="BD275">
        <v>0.21832399999999999</v>
      </c>
      <c r="BE275">
        <v>123.7440033</v>
      </c>
      <c r="BF275">
        <v>5.5124798000000004</v>
      </c>
      <c r="BG275">
        <v>0.498085</v>
      </c>
      <c r="BH275">
        <v>2.4951899000000002</v>
      </c>
      <c r="BI275">
        <v>0.42538799999999999</v>
      </c>
      <c r="BJ275">
        <v>832.54101560000004</v>
      </c>
      <c r="BK275">
        <v>4</v>
      </c>
      <c r="BL275">
        <v>0</v>
      </c>
      <c r="BM275">
        <v>3557.5600586</v>
      </c>
      <c r="BN275">
        <v>3451.0200195000002</v>
      </c>
      <c r="BO275">
        <v>228.87899780000001</v>
      </c>
      <c r="BP275">
        <v>1411</v>
      </c>
      <c r="BQ275">
        <v>6</v>
      </c>
      <c r="BR275">
        <v>3</v>
      </c>
    </row>
    <row r="276" spans="1:70" x14ac:dyDescent="0.25">
      <c r="A276">
        <v>273</v>
      </c>
      <c r="B276">
        <v>10054</v>
      </c>
      <c r="C276">
        <v>88.445082999999897</v>
      </c>
      <c r="D276">
        <v>27.1247779999999</v>
      </c>
      <c r="E276" t="s">
        <v>970</v>
      </c>
      <c r="F276">
        <v>5</v>
      </c>
      <c r="G276" t="s">
        <v>580</v>
      </c>
      <c r="H276" t="s">
        <v>581</v>
      </c>
      <c r="I276" t="s">
        <v>72</v>
      </c>
      <c r="J276" t="s">
        <v>562</v>
      </c>
      <c r="K276">
        <v>55</v>
      </c>
      <c r="L276">
        <v>100</v>
      </c>
      <c r="M276">
        <v>50</v>
      </c>
      <c r="N276">
        <v>5500</v>
      </c>
      <c r="O276" t="s">
        <v>89</v>
      </c>
      <c r="P276" t="s">
        <v>72</v>
      </c>
      <c r="Q276">
        <v>30000</v>
      </c>
      <c r="R276" t="s">
        <v>72</v>
      </c>
      <c r="S276" t="s">
        <v>563</v>
      </c>
      <c r="T276" t="s">
        <v>564</v>
      </c>
      <c r="U276" t="s">
        <v>90</v>
      </c>
      <c r="V276" t="s">
        <v>72</v>
      </c>
      <c r="W276" t="s">
        <v>92</v>
      </c>
      <c r="X276" t="s">
        <v>77</v>
      </c>
      <c r="Y276">
        <v>0</v>
      </c>
      <c r="Z276" t="s">
        <v>72</v>
      </c>
      <c r="AA276" t="s">
        <v>72</v>
      </c>
      <c r="AB276" t="s">
        <v>72</v>
      </c>
      <c r="AC276" t="s">
        <v>72</v>
      </c>
      <c r="AD276" t="s">
        <v>971</v>
      </c>
      <c r="AE276">
        <v>40</v>
      </c>
      <c r="AF276" t="s">
        <v>79</v>
      </c>
      <c r="AG276" t="s">
        <v>94</v>
      </c>
      <c r="AH276" t="s">
        <v>95</v>
      </c>
      <c r="AI276" t="s">
        <v>96</v>
      </c>
      <c r="AJ276" t="s">
        <v>97</v>
      </c>
      <c r="AK276">
        <v>0</v>
      </c>
      <c r="AL276">
        <v>0</v>
      </c>
      <c r="AM276">
        <v>0</v>
      </c>
      <c r="AN276" t="s">
        <v>98</v>
      </c>
      <c r="AO276" t="s">
        <v>82</v>
      </c>
      <c r="AP276" t="s">
        <v>566</v>
      </c>
      <c r="AQ276" t="s">
        <v>72</v>
      </c>
      <c r="AR276" t="s">
        <v>72</v>
      </c>
      <c r="AS276" t="s">
        <v>72</v>
      </c>
      <c r="AT276" t="s">
        <v>72</v>
      </c>
      <c r="AU276" t="s">
        <v>72</v>
      </c>
      <c r="AV276" t="s">
        <v>567</v>
      </c>
      <c r="AW276" t="s">
        <v>72</v>
      </c>
      <c r="AX276" t="s">
        <v>568</v>
      </c>
      <c r="AY276">
        <v>36.259498600000001</v>
      </c>
      <c r="AZ276">
        <v>205</v>
      </c>
      <c r="BA276">
        <v>-1.92</v>
      </c>
      <c r="BB276">
        <v>567.90100099999995</v>
      </c>
      <c r="BC276">
        <v>-0.13066700000000001</v>
      </c>
      <c r="BD276">
        <v>0.169153</v>
      </c>
      <c r="BE276">
        <v>62.5</v>
      </c>
      <c r="BF276">
        <v>5.0328999000000003</v>
      </c>
      <c r="BG276">
        <v>0.5</v>
      </c>
      <c r="BH276">
        <v>1.77098</v>
      </c>
      <c r="BI276">
        <v>0.86293200000000003</v>
      </c>
      <c r="BJ276">
        <v>175</v>
      </c>
      <c r="BK276">
        <v>4</v>
      </c>
      <c r="BL276">
        <v>0</v>
      </c>
      <c r="BM276">
        <v>4850.1499022999997</v>
      </c>
      <c r="BN276">
        <v>5006.5600586</v>
      </c>
      <c r="BO276">
        <v>11.003500000000001</v>
      </c>
      <c r="BP276">
        <v>593</v>
      </c>
      <c r="BQ276">
        <v>6</v>
      </c>
      <c r="BR276">
        <v>3</v>
      </c>
    </row>
    <row r="277" spans="1:70" x14ac:dyDescent="0.25">
      <c r="A277">
        <v>274</v>
      </c>
      <c r="B277">
        <v>8736</v>
      </c>
      <c r="C277">
        <v>88.442778000000004</v>
      </c>
      <c r="D277">
        <v>27.1286939999999</v>
      </c>
      <c r="E277" t="s">
        <v>972</v>
      </c>
      <c r="F277">
        <v>2.5</v>
      </c>
      <c r="G277" t="s">
        <v>580</v>
      </c>
      <c r="H277" t="s">
        <v>581</v>
      </c>
      <c r="I277" t="s">
        <v>72</v>
      </c>
      <c r="J277" t="s">
        <v>562</v>
      </c>
      <c r="K277">
        <v>20</v>
      </c>
      <c r="L277">
        <v>20</v>
      </c>
      <c r="M277">
        <v>15</v>
      </c>
      <c r="N277">
        <v>400</v>
      </c>
      <c r="O277" t="s">
        <v>89</v>
      </c>
      <c r="P277" t="s">
        <v>72</v>
      </c>
      <c r="Q277">
        <v>600</v>
      </c>
      <c r="R277" t="s">
        <v>72</v>
      </c>
      <c r="S277" t="s">
        <v>563</v>
      </c>
      <c r="T277" t="s">
        <v>564</v>
      </c>
      <c r="U277" t="s">
        <v>90</v>
      </c>
      <c r="V277" t="s">
        <v>72</v>
      </c>
      <c r="W277" t="s">
        <v>92</v>
      </c>
      <c r="X277" t="s">
        <v>77</v>
      </c>
      <c r="Y277">
        <v>0</v>
      </c>
      <c r="Z277" t="s">
        <v>72</v>
      </c>
      <c r="AA277" t="s">
        <v>72</v>
      </c>
      <c r="AB277" t="s">
        <v>72</v>
      </c>
      <c r="AC277" t="s">
        <v>72</v>
      </c>
      <c r="AD277" t="s">
        <v>971</v>
      </c>
      <c r="AE277">
        <v>0</v>
      </c>
      <c r="AF277" t="s">
        <v>79</v>
      </c>
      <c r="AG277" t="s">
        <v>94</v>
      </c>
      <c r="AH277" t="s">
        <v>95</v>
      </c>
      <c r="AI277" t="s">
        <v>96</v>
      </c>
      <c r="AJ277" t="s">
        <v>97</v>
      </c>
      <c r="AK277">
        <v>0</v>
      </c>
      <c r="AL277">
        <v>0</v>
      </c>
      <c r="AM277">
        <v>0</v>
      </c>
      <c r="AN277" t="s">
        <v>192</v>
      </c>
      <c r="AO277" t="s">
        <v>107</v>
      </c>
      <c r="AP277" t="s">
        <v>566</v>
      </c>
      <c r="AQ277" t="s">
        <v>72</v>
      </c>
      <c r="AR277" t="s">
        <v>72</v>
      </c>
      <c r="AS277" t="s">
        <v>72</v>
      </c>
      <c r="AT277" t="s">
        <v>72</v>
      </c>
      <c r="AU277" t="s">
        <v>72</v>
      </c>
      <c r="AV277" t="s">
        <v>567</v>
      </c>
      <c r="AW277" t="s">
        <v>72</v>
      </c>
      <c r="AX277" t="s">
        <v>568</v>
      </c>
      <c r="AY277">
        <v>33.539299</v>
      </c>
      <c r="AZ277">
        <v>131</v>
      </c>
      <c r="BA277">
        <v>0.64</v>
      </c>
      <c r="BB277">
        <v>525.78301999999996</v>
      </c>
      <c r="BC277">
        <v>-0.15001800000000001</v>
      </c>
      <c r="BD277">
        <v>0.160853</v>
      </c>
      <c r="BE277">
        <v>88.3883972</v>
      </c>
      <c r="BF277">
        <v>4.7196398000000004</v>
      </c>
      <c r="BG277">
        <v>0.50241499999999994</v>
      </c>
      <c r="BH277">
        <v>1.2089799999999999</v>
      </c>
      <c r="BI277">
        <v>1.0435300000000001</v>
      </c>
      <c r="BJ277">
        <v>75</v>
      </c>
      <c r="BK277">
        <v>7</v>
      </c>
      <c r="BL277">
        <v>0</v>
      </c>
      <c r="BM277">
        <v>5184.25</v>
      </c>
      <c r="BN277">
        <v>4968.0400391000003</v>
      </c>
      <c r="BO277">
        <v>213.92999270000001</v>
      </c>
      <c r="BP277">
        <v>613</v>
      </c>
      <c r="BQ277">
        <v>6</v>
      </c>
      <c r="BR277">
        <v>3</v>
      </c>
    </row>
    <row r="278" spans="1:70" x14ac:dyDescent="0.25">
      <c r="A278">
        <v>275</v>
      </c>
      <c r="B278">
        <v>8737</v>
      </c>
      <c r="C278">
        <v>88.441361000000001</v>
      </c>
      <c r="D278">
        <v>27.129000000000001</v>
      </c>
      <c r="E278" t="s">
        <v>973</v>
      </c>
      <c r="F278">
        <v>2.5</v>
      </c>
      <c r="G278" t="s">
        <v>225</v>
      </c>
      <c r="H278" t="s">
        <v>974</v>
      </c>
      <c r="I278" t="s">
        <v>72</v>
      </c>
      <c r="J278" t="s">
        <v>562</v>
      </c>
      <c r="K278">
        <v>20</v>
      </c>
      <c r="L278">
        <v>15</v>
      </c>
      <c r="M278">
        <v>17</v>
      </c>
      <c r="N278">
        <v>300</v>
      </c>
      <c r="O278" t="s">
        <v>89</v>
      </c>
      <c r="P278" t="s">
        <v>72</v>
      </c>
      <c r="Q278">
        <v>510</v>
      </c>
      <c r="R278" t="s">
        <v>72</v>
      </c>
      <c r="S278" t="s">
        <v>563</v>
      </c>
      <c r="T278" t="s">
        <v>564</v>
      </c>
      <c r="U278" t="s">
        <v>90</v>
      </c>
      <c r="V278" t="s">
        <v>72</v>
      </c>
      <c r="W278" t="s">
        <v>92</v>
      </c>
      <c r="X278" t="s">
        <v>77</v>
      </c>
      <c r="Y278">
        <v>0</v>
      </c>
      <c r="Z278" t="s">
        <v>72</v>
      </c>
      <c r="AA278" t="s">
        <v>72</v>
      </c>
      <c r="AB278" t="s">
        <v>72</v>
      </c>
      <c r="AC278" t="s">
        <v>72</v>
      </c>
      <c r="AD278" t="s">
        <v>971</v>
      </c>
      <c r="AE278">
        <v>0</v>
      </c>
      <c r="AF278" t="s">
        <v>79</v>
      </c>
      <c r="AG278" t="s">
        <v>94</v>
      </c>
      <c r="AH278" t="s">
        <v>95</v>
      </c>
      <c r="AI278" t="s">
        <v>96</v>
      </c>
      <c r="AJ278" t="s">
        <v>97</v>
      </c>
      <c r="AK278">
        <v>0</v>
      </c>
      <c r="AL278">
        <v>0</v>
      </c>
      <c r="AM278">
        <v>0</v>
      </c>
      <c r="AN278" t="s">
        <v>192</v>
      </c>
      <c r="AO278" t="s">
        <v>107</v>
      </c>
      <c r="AP278" t="s">
        <v>566</v>
      </c>
      <c r="AQ278" t="s">
        <v>72</v>
      </c>
      <c r="AR278" t="s">
        <v>72</v>
      </c>
      <c r="AS278" t="s">
        <v>72</v>
      </c>
      <c r="AT278" t="s">
        <v>72</v>
      </c>
      <c r="AU278" t="s">
        <v>72</v>
      </c>
      <c r="AV278" t="s">
        <v>72</v>
      </c>
      <c r="AW278" t="s">
        <v>72</v>
      </c>
      <c r="AX278" t="s">
        <v>975</v>
      </c>
      <c r="AY278">
        <v>25.689399699999999</v>
      </c>
      <c r="AZ278">
        <v>91</v>
      </c>
      <c r="BA278">
        <v>-0.64</v>
      </c>
      <c r="BB278">
        <v>498.1159973</v>
      </c>
      <c r="BC278">
        <v>-0.15067700000000001</v>
      </c>
      <c r="BD278">
        <v>0.15471399999999999</v>
      </c>
      <c r="BE278">
        <v>237.5</v>
      </c>
      <c r="BF278">
        <v>4.3561401000000002</v>
      </c>
      <c r="BG278">
        <v>0.45138899999999998</v>
      </c>
      <c r="BH278">
        <v>-3.6080099999999997E-2</v>
      </c>
      <c r="BI278">
        <v>0.93599500000000002</v>
      </c>
      <c r="BJ278">
        <v>51.538799300000001</v>
      </c>
      <c r="BK278">
        <v>7</v>
      </c>
      <c r="BL278">
        <v>0</v>
      </c>
      <c r="BM278">
        <v>5174.2900391000003</v>
      </c>
      <c r="BN278">
        <v>5072.6098633000001</v>
      </c>
      <c r="BO278">
        <v>110.6949997</v>
      </c>
      <c r="BP278">
        <v>606</v>
      </c>
      <c r="BQ278">
        <v>6</v>
      </c>
      <c r="BR278">
        <v>3</v>
      </c>
    </row>
    <row r="279" spans="1:70" x14ac:dyDescent="0.25">
      <c r="A279">
        <v>276</v>
      </c>
      <c r="B279">
        <v>8735</v>
      </c>
      <c r="C279">
        <v>88.438500000000005</v>
      </c>
      <c r="D279">
        <v>27.150777999999899</v>
      </c>
      <c r="E279" t="s">
        <v>976</v>
      </c>
      <c r="F279">
        <v>2.5</v>
      </c>
      <c r="G279" t="s">
        <v>248</v>
      </c>
      <c r="H279" t="s">
        <v>581</v>
      </c>
      <c r="I279" t="s">
        <v>72</v>
      </c>
      <c r="J279" t="s">
        <v>562</v>
      </c>
      <c r="K279">
        <v>25</v>
      </c>
      <c r="L279">
        <v>50</v>
      </c>
      <c r="M279">
        <v>20</v>
      </c>
      <c r="N279">
        <v>1250</v>
      </c>
      <c r="O279" t="s">
        <v>89</v>
      </c>
      <c r="P279" t="s">
        <v>72</v>
      </c>
      <c r="Q279">
        <v>2000</v>
      </c>
      <c r="R279" t="s">
        <v>72</v>
      </c>
      <c r="S279" t="s">
        <v>563</v>
      </c>
      <c r="T279" t="s">
        <v>564</v>
      </c>
      <c r="U279" t="s">
        <v>90</v>
      </c>
      <c r="V279" t="s">
        <v>72</v>
      </c>
      <c r="W279" t="s">
        <v>159</v>
      </c>
      <c r="X279" t="s">
        <v>119</v>
      </c>
      <c r="Y279">
        <v>0</v>
      </c>
      <c r="Z279" t="s">
        <v>72</v>
      </c>
      <c r="AA279" t="s">
        <v>72</v>
      </c>
      <c r="AB279" t="s">
        <v>72</v>
      </c>
      <c r="AC279" t="s">
        <v>72</v>
      </c>
      <c r="AD279" t="s">
        <v>977</v>
      </c>
      <c r="AE279">
        <v>20</v>
      </c>
      <c r="AF279" t="s">
        <v>79</v>
      </c>
      <c r="AG279" t="s">
        <v>94</v>
      </c>
      <c r="AH279" t="s">
        <v>95</v>
      </c>
      <c r="AI279" t="s">
        <v>121</v>
      </c>
      <c r="AJ279" t="s">
        <v>97</v>
      </c>
      <c r="AK279">
        <v>0</v>
      </c>
      <c r="AL279">
        <v>0</v>
      </c>
      <c r="AM279">
        <v>0</v>
      </c>
      <c r="AN279" t="s">
        <v>192</v>
      </c>
      <c r="AO279" t="s">
        <v>82</v>
      </c>
      <c r="AP279" t="s">
        <v>386</v>
      </c>
      <c r="AQ279" t="s">
        <v>72</v>
      </c>
      <c r="AR279" t="s">
        <v>72</v>
      </c>
      <c r="AS279" t="s">
        <v>72</v>
      </c>
      <c r="AT279" t="s">
        <v>72</v>
      </c>
      <c r="AU279" t="s">
        <v>72</v>
      </c>
      <c r="AV279" t="s">
        <v>567</v>
      </c>
      <c r="AW279" t="s">
        <v>72</v>
      </c>
      <c r="AX279" t="s">
        <v>568</v>
      </c>
      <c r="AY279">
        <v>33.101100899999999</v>
      </c>
      <c r="AZ279">
        <v>52</v>
      </c>
      <c r="BA279">
        <v>-0.64</v>
      </c>
      <c r="BB279">
        <v>624.47698969999999</v>
      </c>
      <c r="BC279">
        <v>-0.198102</v>
      </c>
      <c r="BD279">
        <v>0.20599500000000001</v>
      </c>
      <c r="BE279">
        <v>288.5849915</v>
      </c>
      <c r="BF279">
        <v>5.9980798000000002</v>
      </c>
      <c r="BG279">
        <v>0.48792000000000002</v>
      </c>
      <c r="BH279">
        <v>2.5694799000000001</v>
      </c>
      <c r="BI279">
        <v>0.49055100000000001</v>
      </c>
      <c r="BJ279">
        <v>822.05902100000003</v>
      </c>
      <c r="BK279">
        <v>4</v>
      </c>
      <c r="BL279">
        <v>0</v>
      </c>
      <c r="BM279">
        <v>4487.5698241999999</v>
      </c>
      <c r="BN279">
        <v>4397.1801758000001</v>
      </c>
      <c r="BO279">
        <v>131.2689972</v>
      </c>
      <c r="BP279">
        <v>1156</v>
      </c>
      <c r="BQ279">
        <v>6</v>
      </c>
      <c r="BR279">
        <v>3</v>
      </c>
    </row>
    <row r="280" spans="1:70" x14ac:dyDescent="0.25">
      <c r="A280">
        <v>277</v>
      </c>
      <c r="B280">
        <v>8793</v>
      </c>
      <c r="C280">
        <v>88.443055999999899</v>
      </c>
      <c r="D280">
        <v>27.154722</v>
      </c>
      <c r="E280" t="s">
        <v>978</v>
      </c>
      <c r="F280">
        <v>2.5</v>
      </c>
      <c r="G280" t="s">
        <v>580</v>
      </c>
      <c r="H280" t="s">
        <v>581</v>
      </c>
      <c r="I280" t="s">
        <v>72</v>
      </c>
      <c r="J280" t="s">
        <v>562</v>
      </c>
      <c r="K280">
        <v>15</v>
      </c>
      <c r="L280">
        <v>20</v>
      </c>
      <c r="M280">
        <v>10</v>
      </c>
      <c r="N280">
        <v>300</v>
      </c>
      <c r="O280" t="s">
        <v>89</v>
      </c>
      <c r="P280" t="s">
        <v>72</v>
      </c>
      <c r="Q280">
        <v>400</v>
      </c>
      <c r="R280" t="s">
        <v>72</v>
      </c>
      <c r="S280" t="s">
        <v>563</v>
      </c>
      <c r="T280" t="s">
        <v>564</v>
      </c>
      <c r="U280" t="s">
        <v>90</v>
      </c>
      <c r="V280" t="s">
        <v>72</v>
      </c>
      <c r="W280" t="s">
        <v>92</v>
      </c>
      <c r="X280" t="s">
        <v>77</v>
      </c>
      <c r="Y280">
        <v>0</v>
      </c>
      <c r="Z280" t="s">
        <v>72</v>
      </c>
      <c r="AA280" t="s">
        <v>72</v>
      </c>
      <c r="AB280" t="s">
        <v>72</v>
      </c>
      <c r="AC280" t="s">
        <v>72</v>
      </c>
      <c r="AD280" t="s">
        <v>977</v>
      </c>
      <c r="AE280">
        <v>0</v>
      </c>
      <c r="AF280" t="s">
        <v>79</v>
      </c>
      <c r="AG280" t="s">
        <v>94</v>
      </c>
      <c r="AH280" t="s">
        <v>95</v>
      </c>
      <c r="AI280" t="s">
        <v>96</v>
      </c>
      <c r="AJ280" t="s">
        <v>97</v>
      </c>
      <c r="AK280">
        <v>0</v>
      </c>
      <c r="AL280">
        <v>0</v>
      </c>
      <c r="AM280">
        <v>0</v>
      </c>
      <c r="AN280" t="s">
        <v>192</v>
      </c>
      <c r="AO280" t="s">
        <v>82</v>
      </c>
      <c r="AP280" t="s">
        <v>448</v>
      </c>
      <c r="AQ280" t="s">
        <v>72</v>
      </c>
      <c r="AR280" t="s">
        <v>72</v>
      </c>
      <c r="AS280" t="s">
        <v>72</v>
      </c>
      <c r="AT280" t="s">
        <v>72</v>
      </c>
      <c r="AU280" t="s">
        <v>72</v>
      </c>
      <c r="AV280" t="s">
        <v>567</v>
      </c>
      <c r="AW280" t="s">
        <v>72</v>
      </c>
      <c r="AX280" t="s">
        <v>568</v>
      </c>
      <c r="AY280">
        <v>33.587299299999998</v>
      </c>
      <c r="AZ280">
        <v>60</v>
      </c>
      <c r="BA280">
        <v>-0.64</v>
      </c>
      <c r="BB280">
        <v>598.05200200000002</v>
      </c>
      <c r="BC280">
        <v>-0.184949</v>
      </c>
      <c r="BD280">
        <v>0.19622600000000001</v>
      </c>
      <c r="BE280">
        <v>506.51998900000001</v>
      </c>
      <c r="BF280">
        <v>6.9053798000000004</v>
      </c>
      <c r="BG280">
        <v>0.534389</v>
      </c>
      <c r="BH280">
        <v>3.5434101</v>
      </c>
      <c r="BI280">
        <v>0.54654100000000005</v>
      </c>
      <c r="BJ280">
        <v>631.09497069999998</v>
      </c>
      <c r="BK280">
        <v>4</v>
      </c>
      <c r="BL280">
        <v>0</v>
      </c>
      <c r="BM280">
        <v>4768.8100586</v>
      </c>
      <c r="BN280">
        <v>4125.9301758000001</v>
      </c>
      <c r="BO280">
        <v>161.5650024</v>
      </c>
      <c r="BP280">
        <v>1332</v>
      </c>
      <c r="BQ280">
        <v>6</v>
      </c>
      <c r="BR280">
        <v>3</v>
      </c>
    </row>
    <row r="281" spans="1:70" x14ac:dyDescent="0.25">
      <c r="A281">
        <v>278</v>
      </c>
      <c r="B281">
        <v>8792</v>
      </c>
      <c r="C281">
        <v>88.444361000000001</v>
      </c>
      <c r="D281">
        <v>27.1591939999999</v>
      </c>
      <c r="E281" t="s">
        <v>979</v>
      </c>
      <c r="F281">
        <v>2.5</v>
      </c>
      <c r="G281" t="s">
        <v>580</v>
      </c>
      <c r="H281" t="s">
        <v>581</v>
      </c>
      <c r="I281" t="s">
        <v>72</v>
      </c>
      <c r="J281" t="s">
        <v>562</v>
      </c>
      <c r="K281">
        <v>30</v>
      </c>
      <c r="L281">
        <v>40</v>
      </c>
      <c r="M281">
        <v>25</v>
      </c>
      <c r="N281">
        <v>1200</v>
      </c>
      <c r="O281" t="s">
        <v>89</v>
      </c>
      <c r="P281" t="s">
        <v>72</v>
      </c>
      <c r="Q281">
        <v>2000</v>
      </c>
      <c r="R281" t="s">
        <v>72</v>
      </c>
      <c r="S281" t="s">
        <v>563</v>
      </c>
      <c r="T281" t="s">
        <v>564</v>
      </c>
      <c r="U281" t="s">
        <v>90</v>
      </c>
      <c r="V281" t="s">
        <v>72</v>
      </c>
      <c r="W281" t="s">
        <v>92</v>
      </c>
      <c r="X281" t="s">
        <v>77</v>
      </c>
      <c r="Y281">
        <v>0</v>
      </c>
      <c r="Z281" t="s">
        <v>72</v>
      </c>
      <c r="AA281" t="s">
        <v>72</v>
      </c>
      <c r="AB281" t="s">
        <v>72</v>
      </c>
      <c r="AC281" t="s">
        <v>72</v>
      </c>
      <c r="AD281" t="s">
        <v>977</v>
      </c>
      <c r="AE281">
        <v>50</v>
      </c>
      <c r="AF281" t="s">
        <v>79</v>
      </c>
      <c r="AG281" t="s">
        <v>94</v>
      </c>
      <c r="AH281" t="s">
        <v>95</v>
      </c>
      <c r="AI281" t="s">
        <v>150</v>
      </c>
      <c r="AJ281" t="s">
        <v>97</v>
      </c>
      <c r="AK281">
        <v>0</v>
      </c>
      <c r="AL281">
        <v>0</v>
      </c>
      <c r="AM281">
        <v>0</v>
      </c>
      <c r="AN281" t="s">
        <v>98</v>
      </c>
      <c r="AO281" t="s">
        <v>82</v>
      </c>
      <c r="AP281" t="s">
        <v>99</v>
      </c>
      <c r="AQ281" t="s">
        <v>72</v>
      </c>
      <c r="AR281" t="s">
        <v>72</v>
      </c>
      <c r="AS281" t="s">
        <v>72</v>
      </c>
      <c r="AT281" t="s">
        <v>72</v>
      </c>
      <c r="AU281" t="s">
        <v>72</v>
      </c>
      <c r="AV281" t="s">
        <v>72</v>
      </c>
      <c r="AW281" t="s">
        <v>72</v>
      </c>
      <c r="AX281" t="s">
        <v>568</v>
      </c>
      <c r="AY281">
        <v>38.180999800000002</v>
      </c>
      <c r="AZ281">
        <v>209</v>
      </c>
      <c r="BA281">
        <v>-1.28</v>
      </c>
      <c r="BB281">
        <v>510.31399540000001</v>
      </c>
      <c r="BC281">
        <v>-0.184281</v>
      </c>
      <c r="BD281">
        <v>0.225246</v>
      </c>
      <c r="BE281">
        <v>648.31500240000003</v>
      </c>
      <c r="BF281">
        <v>4.3754802000000002</v>
      </c>
      <c r="BG281">
        <v>0.474748</v>
      </c>
      <c r="BH281">
        <v>1.1475101000000001</v>
      </c>
      <c r="BI281">
        <v>0.410026</v>
      </c>
      <c r="BJ281">
        <v>125</v>
      </c>
      <c r="BK281">
        <v>4</v>
      </c>
      <c r="BL281">
        <v>0</v>
      </c>
      <c r="BM281">
        <v>4741.8500977000003</v>
      </c>
      <c r="BN281">
        <v>4042.9099120999999</v>
      </c>
      <c r="BO281">
        <v>7.3057599</v>
      </c>
      <c r="BP281">
        <v>1272</v>
      </c>
      <c r="BQ281">
        <v>6</v>
      </c>
      <c r="BR281">
        <v>3</v>
      </c>
    </row>
    <row r="282" spans="1:70" x14ac:dyDescent="0.25">
      <c r="A282">
        <v>279</v>
      </c>
      <c r="B282">
        <v>10305</v>
      </c>
      <c r="C282">
        <v>88.477753000000007</v>
      </c>
      <c r="D282">
        <v>27.116036999999899</v>
      </c>
      <c r="E282" t="s">
        <v>980</v>
      </c>
      <c r="F282">
        <v>3</v>
      </c>
      <c r="G282" t="s">
        <v>130</v>
      </c>
      <c r="H282" t="s">
        <v>72</v>
      </c>
      <c r="I282" t="s">
        <v>72</v>
      </c>
      <c r="J282" t="s">
        <v>88</v>
      </c>
      <c r="K282">
        <v>40</v>
      </c>
      <c r="L282">
        <v>80</v>
      </c>
      <c r="M282">
        <v>25</v>
      </c>
      <c r="N282">
        <v>3200</v>
      </c>
      <c r="O282" t="s">
        <v>89</v>
      </c>
      <c r="P282" t="s">
        <v>72</v>
      </c>
      <c r="Q282">
        <v>9600</v>
      </c>
      <c r="R282" t="s">
        <v>72</v>
      </c>
      <c r="S282" t="s">
        <v>73</v>
      </c>
      <c r="T282" t="s">
        <v>74</v>
      </c>
      <c r="U282" t="s">
        <v>90</v>
      </c>
      <c r="V282" t="s">
        <v>981</v>
      </c>
      <c r="W282" t="s">
        <v>76</v>
      </c>
      <c r="X282" t="s">
        <v>77</v>
      </c>
      <c r="Y282">
        <v>2007</v>
      </c>
      <c r="Z282" t="s">
        <v>72</v>
      </c>
      <c r="AA282" t="s">
        <v>72</v>
      </c>
      <c r="AB282" t="s">
        <v>72</v>
      </c>
      <c r="AC282" t="s">
        <v>72</v>
      </c>
      <c r="AD282" t="s">
        <v>982</v>
      </c>
      <c r="AE282">
        <v>0</v>
      </c>
      <c r="AF282" t="s">
        <v>79</v>
      </c>
      <c r="AG282" t="s">
        <v>94</v>
      </c>
      <c r="AH282" t="s">
        <v>95</v>
      </c>
      <c r="AI282" t="s">
        <v>96</v>
      </c>
      <c r="AJ282" t="s">
        <v>97</v>
      </c>
      <c r="AK282">
        <v>0</v>
      </c>
      <c r="AL282">
        <v>0</v>
      </c>
      <c r="AM282">
        <v>0</v>
      </c>
      <c r="AN282" t="s">
        <v>192</v>
      </c>
      <c r="AO282" t="s">
        <v>72</v>
      </c>
      <c r="AP282" t="s">
        <v>99</v>
      </c>
      <c r="AQ282" t="s">
        <v>72</v>
      </c>
      <c r="AR282" t="s">
        <v>72</v>
      </c>
      <c r="AS282" t="s">
        <v>72</v>
      </c>
      <c r="AT282" t="s">
        <v>72</v>
      </c>
      <c r="AU282" t="s">
        <v>72</v>
      </c>
      <c r="AV282" t="s">
        <v>72</v>
      </c>
      <c r="AW282" t="s">
        <v>72</v>
      </c>
      <c r="AX282" t="s">
        <v>72</v>
      </c>
      <c r="AY282">
        <v>18.580299400000001</v>
      </c>
      <c r="AZ282">
        <v>224</v>
      </c>
      <c r="BA282">
        <v>0.64</v>
      </c>
      <c r="BB282">
        <v>484.75799560000002</v>
      </c>
      <c r="BC282">
        <v>-0.137406</v>
      </c>
      <c r="BD282">
        <v>0.19156000000000001</v>
      </c>
      <c r="BE282">
        <v>371.65200809999999</v>
      </c>
      <c r="BF282">
        <v>3.6159100999999998</v>
      </c>
      <c r="BG282">
        <v>0.50504899999999997</v>
      </c>
      <c r="BH282">
        <v>-7.9949697999999998</v>
      </c>
      <c r="BI282">
        <v>0.67750100000000002</v>
      </c>
      <c r="BJ282">
        <v>548.00799559999996</v>
      </c>
      <c r="BK282">
        <v>4</v>
      </c>
      <c r="BL282">
        <v>0</v>
      </c>
      <c r="BM282">
        <v>5825.9799805000002</v>
      </c>
      <c r="BN282">
        <v>2854</v>
      </c>
      <c r="BO282">
        <v>337.24899290000002</v>
      </c>
      <c r="BP282">
        <v>450</v>
      </c>
      <c r="BQ282">
        <v>6</v>
      </c>
      <c r="BR282">
        <v>3</v>
      </c>
    </row>
    <row r="283" spans="1:70" x14ac:dyDescent="0.25">
      <c r="A283">
        <v>280</v>
      </c>
      <c r="B283">
        <v>10341</v>
      </c>
      <c r="C283">
        <v>88.477850000000004</v>
      </c>
      <c r="D283">
        <v>27.116033000000002</v>
      </c>
      <c r="E283" t="s">
        <v>983</v>
      </c>
      <c r="F283">
        <v>15</v>
      </c>
      <c r="G283" t="s">
        <v>931</v>
      </c>
      <c r="H283" t="s">
        <v>72</v>
      </c>
      <c r="I283" t="s">
        <v>72</v>
      </c>
      <c r="J283" t="s">
        <v>88</v>
      </c>
      <c r="K283">
        <v>35</v>
      </c>
      <c r="L283">
        <v>8</v>
      </c>
      <c r="M283">
        <v>28</v>
      </c>
      <c r="N283">
        <v>280</v>
      </c>
      <c r="O283" t="s">
        <v>89</v>
      </c>
      <c r="P283" t="s">
        <v>72</v>
      </c>
      <c r="Q283">
        <v>4200</v>
      </c>
      <c r="R283" t="s">
        <v>72</v>
      </c>
      <c r="S283" t="s">
        <v>73</v>
      </c>
      <c r="T283" t="s">
        <v>74</v>
      </c>
      <c r="U283" t="s">
        <v>90</v>
      </c>
      <c r="V283" t="s">
        <v>932</v>
      </c>
      <c r="W283" t="s">
        <v>76</v>
      </c>
      <c r="X283" t="s">
        <v>77</v>
      </c>
      <c r="Y283">
        <v>2016</v>
      </c>
      <c r="Z283" t="s">
        <v>72</v>
      </c>
      <c r="AA283" t="s">
        <v>72</v>
      </c>
      <c r="AB283" t="s">
        <v>72</v>
      </c>
      <c r="AC283" t="s">
        <v>72</v>
      </c>
      <c r="AD283" t="s">
        <v>933</v>
      </c>
      <c r="AE283">
        <v>0</v>
      </c>
      <c r="AF283" t="s">
        <v>148</v>
      </c>
      <c r="AG283" t="s">
        <v>94</v>
      </c>
      <c r="AH283" t="s">
        <v>95</v>
      </c>
      <c r="AI283" t="s">
        <v>121</v>
      </c>
      <c r="AJ283" t="s">
        <v>97</v>
      </c>
      <c r="AK283">
        <v>0</v>
      </c>
      <c r="AL283">
        <v>0</v>
      </c>
      <c r="AM283">
        <v>0</v>
      </c>
      <c r="AN283" t="s">
        <v>72</v>
      </c>
      <c r="AO283" t="s">
        <v>72</v>
      </c>
      <c r="AP283" t="s">
        <v>72</v>
      </c>
      <c r="AQ283" t="s">
        <v>72</v>
      </c>
      <c r="AR283" t="s">
        <v>72</v>
      </c>
      <c r="AS283" t="s">
        <v>72</v>
      </c>
      <c r="AT283" t="s">
        <v>72</v>
      </c>
      <c r="AU283" t="s">
        <v>72</v>
      </c>
      <c r="AV283" t="s">
        <v>72</v>
      </c>
      <c r="AW283" t="s">
        <v>72</v>
      </c>
      <c r="AX283" t="s">
        <v>72</v>
      </c>
      <c r="AY283">
        <v>19.826999699999998</v>
      </c>
      <c r="AZ283">
        <v>224</v>
      </c>
      <c r="BA283">
        <v>-0.64</v>
      </c>
      <c r="BB283">
        <v>484.75799560000002</v>
      </c>
      <c r="BC283">
        <v>-0.137406</v>
      </c>
      <c r="BD283">
        <v>0.19156000000000001</v>
      </c>
      <c r="BE283">
        <v>380.993988</v>
      </c>
      <c r="BF283">
        <v>7.4363399000000001</v>
      </c>
      <c r="BG283">
        <v>0.44444499999999998</v>
      </c>
      <c r="BH283">
        <v>2.9359099999999998</v>
      </c>
      <c r="BI283">
        <v>0.67196699999999998</v>
      </c>
      <c r="BJ283">
        <v>556.91699219999998</v>
      </c>
      <c r="BK283">
        <v>4</v>
      </c>
      <c r="BL283">
        <v>0</v>
      </c>
      <c r="BM283">
        <v>5835.5097655999998</v>
      </c>
      <c r="BN283">
        <v>2844.5400390999998</v>
      </c>
      <c r="BO283">
        <v>340.55999759999997</v>
      </c>
      <c r="BP283">
        <v>451</v>
      </c>
      <c r="BQ283">
        <v>6</v>
      </c>
      <c r="BR283">
        <v>3</v>
      </c>
    </row>
    <row r="284" spans="1:70" x14ac:dyDescent="0.25">
      <c r="A284">
        <v>281</v>
      </c>
      <c r="B284">
        <v>388</v>
      </c>
      <c r="C284">
        <v>88.477000000000004</v>
      </c>
      <c r="D284">
        <v>27.117999999999899</v>
      </c>
      <c r="E284" t="s">
        <v>984</v>
      </c>
      <c r="F284">
        <v>2.5</v>
      </c>
      <c r="G284" t="s">
        <v>648</v>
      </c>
      <c r="H284" t="s">
        <v>72</v>
      </c>
      <c r="I284" t="s">
        <v>72</v>
      </c>
      <c r="J284" t="s">
        <v>72</v>
      </c>
      <c r="K284">
        <v>25</v>
      </c>
      <c r="L284">
        <v>80</v>
      </c>
      <c r="M284">
        <v>25</v>
      </c>
      <c r="N284">
        <v>0</v>
      </c>
      <c r="O284" t="s">
        <v>72</v>
      </c>
      <c r="P284" t="s">
        <v>649</v>
      </c>
      <c r="Q284">
        <v>0</v>
      </c>
      <c r="R284" t="s">
        <v>72</v>
      </c>
      <c r="S284" t="s">
        <v>73</v>
      </c>
      <c r="T284" t="s">
        <v>74</v>
      </c>
      <c r="U284" t="s">
        <v>90</v>
      </c>
      <c r="V284" t="s">
        <v>72</v>
      </c>
      <c r="W284" t="s">
        <v>76</v>
      </c>
      <c r="X284" t="s">
        <v>72</v>
      </c>
      <c r="Y284">
        <v>0</v>
      </c>
      <c r="Z284" t="s">
        <v>72</v>
      </c>
      <c r="AA284" t="s">
        <v>72</v>
      </c>
      <c r="AB284" t="s">
        <v>72</v>
      </c>
      <c r="AC284" t="s">
        <v>72</v>
      </c>
      <c r="AD284" t="s">
        <v>985</v>
      </c>
      <c r="AE284">
        <v>0</v>
      </c>
      <c r="AF284" t="s">
        <v>79</v>
      </c>
      <c r="AG284" t="s">
        <v>94</v>
      </c>
      <c r="AH284" t="s">
        <v>72</v>
      </c>
      <c r="AI284" t="s">
        <v>96</v>
      </c>
      <c r="AJ284" t="s">
        <v>97</v>
      </c>
      <c r="AK284">
        <v>0</v>
      </c>
      <c r="AL284">
        <v>0</v>
      </c>
      <c r="AM284">
        <v>0</v>
      </c>
      <c r="AN284" t="s">
        <v>72</v>
      </c>
      <c r="AO284" t="s">
        <v>72</v>
      </c>
      <c r="AP284" t="s">
        <v>72</v>
      </c>
      <c r="AQ284" t="s">
        <v>72</v>
      </c>
      <c r="AR284" t="s">
        <v>72</v>
      </c>
      <c r="AS284" t="s">
        <v>72</v>
      </c>
      <c r="AT284" t="s">
        <v>72</v>
      </c>
      <c r="AU284" t="s">
        <v>72</v>
      </c>
      <c r="AV284" t="s">
        <v>986</v>
      </c>
      <c r="AW284" t="s">
        <v>72</v>
      </c>
      <c r="AX284" t="s">
        <v>987</v>
      </c>
      <c r="AY284">
        <v>37.027999899999998</v>
      </c>
      <c r="AZ284">
        <v>237</v>
      </c>
      <c r="BA284">
        <v>1.28</v>
      </c>
      <c r="BB284">
        <v>456.69799799999998</v>
      </c>
      <c r="BC284">
        <v>-0.124386</v>
      </c>
      <c r="BD284">
        <v>0.178956</v>
      </c>
      <c r="BE284">
        <v>190.3939972</v>
      </c>
      <c r="BF284">
        <v>3.5008099000000001</v>
      </c>
      <c r="BG284">
        <v>0.474748</v>
      </c>
      <c r="BH284">
        <v>-0.279613</v>
      </c>
      <c r="BI284">
        <v>0.80874500000000005</v>
      </c>
      <c r="BJ284">
        <v>335.87600709999998</v>
      </c>
      <c r="BK284">
        <v>4</v>
      </c>
      <c r="BL284">
        <v>0</v>
      </c>
      <c r="BM284">
        <v>5918.7299805000002</v>
      </c>
      <c r="BN284">
        <v>3060.0800780999998</v>
      </c>
      <c r="BO284">
        <v>345.41101070000002</v>
      </c>
      <c r="BP284">
        <v>366</v>
      </c>
      <c r="BQ284">
        <v>6</v>
      </c>
      <c r="BR284">
        <v>3</v>
      </c>
    </row>
    <row r="285" spans="1:70" x14ac:dyDescent="0.25">
      <c r="A285">
        <v>282</v>
      </c>
      <c r="B285">
        <v>10166</v>
      </c>
      <c r="C285">
        <v>88.490499999999898</v>
      </c>
      <c r="D285">
        <v>27.197417000000002</v>
      </c>
      <c r="E285" t="s">
        <v>988</v>
      </c>
      <c r="F285">
        <v>2.5</v>
      </c>
      <c r="G285" t="s">
        <v>225</v>
      </c>
      <c r="H285" t="s">
        <v>989</v>
      </c>
      <c r="I285" t="s">
        <v>72</v>
      </c>
      <c r="J285" t="s">
        <v>562</v>
      </c>
      <c r="K285">
        <v>50</v>
      </c>
      <c r="L285">
        <v>70</v>
      </c>
      <c r="M285">
        <v>40</v>
      </c>
      <c r="N285">
        <v>3500</v>
      </c>
      <c r="O285" t="s">
        <v>89</v>
      </c>
      <c r="P285" t="s">
        <v>72</v>
      </c>
      <c r="Q285">
        <v>5600</v>
      </c>
      <c r="R285" t="s">
        <v>72</v>
      </c>
      <c r="S285" t="s">
        <v>563</v>
      </c>
      <c r="T285" t="s">
        <v>564</v>
      </c>
      <c r="U285" t="s">
        <v>776</v>
      </c>
      <c r="V285" t="s">
        <v>72</v>
      </c>
      <c r="W285" t="s">
        <v>76</v>
      </c>
      <c r="X285" t="s">
        <v>77</v>
      </c>
      <c r="Y285">
        <v>0</v>
      </c>
      <c r="Z285" t="s">
        <v>72</v>
      </c>
      <c r="AA285" t="s">
        <v>72</v>
      </c>
      <c r="AB285" t="s">
        <v>72</v>
      </c>
      <c r="AC285" t="s">
        <v>72</v>
      </c>
      <c r="AD285" t="s">
        <v>748</v>
      </c>
      <c r="AE285">
        <v>0</v>
      </c>
      <c r="AF285" t="s">
        <v>148</v>
      </c>
      <c r="AG285" t="s">
        <v>94</v>
      </c>
      <c r="AH285" t="s">
        <v>95</v>
      </c>
      <c r="AI285" t="s">
        <v>121</v>
      </c>
      <c r="AJ285" t="s">
        <v>97</v>
      </c>
      <c r="AK285">
        <v>0</v>
      </c>
      <c r="AL285">
        <v>0</v>
      </c>
      <c r="AM285">
        <v>0</v>
      </c>
      <c r="AN285" t="s">
        <v>192</v>
      </c>
      <c r="AO285" t="s">
        <v>82</v>
      </c>
      <c r="AP285" t="s">
        <v>99</v>
      </c>
      <c r="AQ285" t="s">
        <v>72</v>
      </c>
      <c r="AR285" t="s">
        <v>72</v>
      </c>
      <c r="AS285" t="s">
        <v>72</v>
      </c>
      <c r="AT285" t="s">
        <v>72</v>
      </c>
      <c r="AU285" t="s">
        <v>72</v>
      </c>
      <c r="AV285" t="s">
        <v>567</v>
      </c>
      <c r="AW285" t="s">
        <v>72</v>
      </c>
      <c r="AX285" t="s">
        <v>568</v>
      </c>
      <c r="AY285">
        <v>47.402000399999999</v>
      </c>
      <c r="AZ285">
        <v>151</v>
      </c>
      <c r="BA285">
        <v>1.28</v>
      </c>
      <c r="BB285">
        <v>450.98800660000001</v>
      </c>
      <c r="BC285">
        <v>-0.111313</v>
      </c>
      <c r="BD285">
        <v>0.15540899999999999</v>
      </c>
      <c r="BE285">
        <v>0</v>
      </c>
      <c r="BF285">
        <v>4.5212301999999998</v>
      </c>
      <c r="BG285">
        <v>0.50150099999999997</v>
      </c>
      <c r="BH285">
        <v>2.03091</v>
      </c>
      <c r="BI285">
        <v>1.00718</v>
      </c>
      <c r="BJ285">
        <v>197.64199830000001</v>
      </c>
      <c r="BK285">
        <v>7</v>
      </c>
      <c r="BL285">
        <v>0</v>
      </c>
      <c r="BM285">
        <v>4667.8798827999999</v>
      </c>
      <c r="BN285">
        <v>4903.1899414</v>
      </c>
      <c r="BO285">
        <v>237.77099609999999</v>
      </c>
      <c r="BP285">
        <v>336</v>
      </c>
      <c r="BQ285">
        <v>6</v>
      </c>
      <c r="BR285">
        <v>3</v>
      </c>
    </row>
    <row r="286" spans="1:70" x14ac:dyDescent="0.25">
      <c r="A286">
        <v>283</v>
      </c>
      <c r="B286">
        <v>10327</v>
      </c>
      <c r="C286">
        <v>88.493949000000001</v>
      </c>
      <c r="D286">
        <v>27.122979000000001</v>
      </c>
      <c r="E286" t="s">
        <v>990</v>
      </c>
      <c r="F286">
        <v>1</v>
      </c>
      <c r="G286" t="s">
        <v>102</v>
      </c>
      <c r="H286" t="s">
        <v>72</v>
      </c>
      <c r="I286" t="s">
        <v>72</v>
      </c>
      <c r="J286" t="s">
        <v>88</v>
      </c>
      <c r="K286">
        <v>40</v>
      </c>
      <c r="L286">
        <v>30</v>
      </c>
      <c r="M286">
        <v>25</v>
      </c>
      <c r="N286">
        <v>1200</v>
      </c>
      <c r="O286" t="s">
        <v>105</v>
      </c>
      <c r="P286" t="s">
        <v>72</v>
      </c>
      <c r="Q286">
        <v>1200</v>
      </c>
      <c r="R286" t="s">
        <v>72</v>
      </c>
      <c r="S286" t="s">
        <v>73</v>
      </c>
      <c r="T286" t="s">
        <v>74</v>
      </c>
      <c r="U286" t="s">
        <v>90</v>
      </c>
      <c r="V286" t="s">
        <v>991</v>
      </c>
      <c r="W286" t="s">
        <v>76</v>
      </c>
      <c r="X286" t="s">
        <v>77</v>
      </c>
      <c r="Y286">
        <v>2007</v>
      </c>
      <c r="Z286" t="s">
        <v>72</v>
      </c>
      <c r="AA286" t="s">
        <v>72</v>
      </c>
      <c r="AB286" t="s">
        <v>72</v>
      </c>
      <c r="AC286" t="s">
        <v>72</v>
      </c>
      <c r="AD286" t="s">
        <v>992</v>
      </c>
      <c r="AE286">
        <v>0</v>
      </c>
      <c r="AF286" t="s">
        <v>79</v>
      </c>
      <c r="AG286" t="s">
        <v>133</v>
      </c>
      <c r="AH286" t="s">
        <v>95</v>
      </c>
      <c r="AI286" t="s">
        <v>96</v>
      </c>
      <c r="AJ286" t="s">
        <v>97</v>
      </c>
      <c r="AK286">
        <v>0</v>
      </c>
      <c r="AL286">
        <v>0</v>
      </c>
      <c r="AM286">
        <v>0</v>
      </c>
      <c r="AN286" t="s">
        <v>192</v>
      </c>
      <c r="AO286" t="s">
        <v>82</v>
      </c>
      <c r="AP286" t="s">
        <v>200</v>
      </c>
      <c r="AQ286" t="s">
        <v>72</v>
      </c>
      <c r="AR286" t="s">
        <v>72</v>
      </c>
      <c r="AS286" t="s">
        <v>72</v>
      </c>
      <c r="AT286" t="s">
        <v>993</v>
      </c>
      <c r="AU286" t="s">
        <v>72</v>
      </c>
      <c r="AV286" t="s">
        <v>72</v>
      </c>
      <c r="AW286" t="s">
        <v>72</v>
      </c>
      <c r="AX286" t="s">
        <v>72</v>
      </c>
      <c r="AY286">
        <v>19.7989006</v>
      </c>
      <c r="AZ286">
        <v>212</v>
      </c>
      <c r="BA286">
        <v>-0.64</v>
      </c>
      <c r="BB286">
        <v>395.30499270000001</v>
      </c>
      <c r="BC286">
        <v>-0.11655799999999999</v>
      </c>
      <c r="BD286">
        <v>0.14397099999999999</v>
      </c>
      <c r="BE286">
        <v>111.8030014</v>
      </c>
      <c r="BF286">
        <v>5.2325301</v>
      </c>
      <c r="BG286">
        <v>0.48148099999999999</v>
      </c>
      <c r="BH286">
        <v>0.69708899999999996</v>
      </c>
      <c r="BI286">
        <v>1.2546200000000001</v>
      </c>
      <c r="BJ286">
        <v>72.886901899999998</v>
      </c>
      <c r="BK286">
        <v>4</v>
      </c>
      <c r="BL286">
        <v>0</v>
      </c>
      <c r="BM286">
        <v>7567.5498047000001</v>
      </c>
      <c r="BN286">
        <v>2709.0400390999998</v>
      </c>
      <c r="BO286">
        <v>0</v>
      </c>
      <c r="BP286">
        <v>220</v>
      </c>
      <c r="BQ286">
        <v>6</v>
      </c>
      <c r="BR286">
        <v>3</v>
      </c>
    </row>
    <row r="287" spans="1:70" x14ac:dyDescent="0.25">
      <c r="A287">
        <v>284</v>
      </c>
      <c r="B287">
        <v>10934</v>
      </c>
      <c r="C287">
        <v>88.512387000000004</v>
      </c>
      <c r="D287">
        <v>27.133431000000002</v>
      </c>
      <c r="E287" t="s">
        <v>994</v>
      </c>
      <c r="F287">
        <v>1</v>
      </c>
      <c r="G287" t="s">
        <v>102</v>
      </c>
      <c r="H287" t="s">
        <v>72</v>
      </c>
      <c r="I287" t="s">
        <v>72</v>
      </c>
      <c r="J287" t="s">
        <v>88</v>
      </c>
      <c r="K287">
        <v>40</v>
      </c>
      <c r="L287">
        <v>50</v>
      </c>
      <c r="M287">
        <v>30</v>
      </c>
      <c r="N287">
        <v>2000</v>
      </c>
      <c r="O287" t="s">
        <v>89</v>
      </c>
      <c r="P287" t="s">
        <v>72</v>
      </c>
      <c r="Q287">
        <v>2000</v>
      </c>
      <c r="R287" t="s">
        <v>72</v>
      </c>
      <c r="S287" t="s">
        <v>73</v>
      </c>
      <c r="T287" t="s">
        <v>74</v>
      </c>
      <c r="U287" t="s">
        <v>776</v>
      </c>
      <c r="V287" t="s">
        <v>995</v>
      </c>
      <c r="W287" t="s">
        <v>76</v>
      </c>
      <c r="X287" t="s">
        <v>77</v>
      </c>
      <c r="Y287">
        <v>2007</v>
      </c>
      <c r="Z287" t="s">
        <v>72</v>
      </c>
      <c r="AA287" t="s">
        <v>72</v>
      </c>
      <c r="AB287" t="s">
        <v>72</v>
      </c>
      <c r="AC287" t="s">
        <v>72</v>
      </c>
      <c r="AD287" t="s">
        <v>996</v>
      </c>
      <c r="AE287">
        <v>0</v>
      </c>
      <c r="AF287" t="s">
        <v>79</v>
      </c>
      <c r="AG287" t="s">
        <v>94</v>
      </c>
      <c r="AH287" t="s">
        <v>95</v>
      </c>
      <c r="AI287" t="s">
        <v>96</v>
      </c>
      <c r="AJ287" t="s">
        <v>97</v>
      </c>
      <c r="AK287">
        <v>0</v>
      </c>
      <c r="AL287">
        <v>0</v>
      </c>
      <c r="AM287">
        <v>0</v>
      </c>
      <c r="AN287" t="s">
        <v>98</v>
      </c>
      <c r="AO287" t="s">
        <v>72</v>
      </c>
      <c r="AP287" t="s">
        <v>99</v>
      </c>
      <c r="AQ287" t="s">
        <v>72</v>
      </c>
      <c r="AR287" t="s">
        <v>72</v>
      </c>
      <c r="AS287" t="s">
        <v>72</v>
      </c>
      <c r="AT287" t="s">
        <v>72</v>
      </c>
      <c r="AU287" t="s">
        <v>72</v>
      </c>
      <c r="AV287" t="s">
        <v>72</v>
      </c>
      <c r="AW287" t="s">
        <v>72</v>
      </c>
      <c r="AX287" t="s">
        <v>72</v>
      </c>
      <c r="AY287">
        <v>41.685199699999998</v>
      </c>
      <c r="AZ287">
        <v>235</v>
      </c>
      <c r="BA287">
        <v>-0.64</v>
      </c>
      <c r="BB287">
        <v>333.9219971</v>
      </c>
      <c r="BC287">
        <v>-0.100368</v>
      </c>
      <c r="BD287">
        <v>0.14268400000000001</v>
      </c>
      <c r="BE287">
        <v>150.52000430000001</v>
      </c>
      <c r="BF287">
        <v>3.74031</v>
      </c>
      <c r="BG287">
        <v>0.50854699999999997</v>
      </c>
      <c r="BH287">
        <v>0.57880299999999996</v>
      </c>
      <c r="BI287">
        <v>1.1704600000000001</v>
      </c>
      <c r="BJ287">
        <v>277.54501340000002</v>
      </c>
      <c r="BK287">
        <v>4</v>
      </c>
      <c r="BL287">
        <v>0</v>
      </c>
      <c r="BM287">
        <v>9048.7695311999996</v>
      </c>
      <c r="BN287">
        <v>2794.3000487999998</v>
      </c>
      <c r="BO287">
        <v>347.6809998</v>
      </c>
      <c r="BP287">
        <v>341</v>
      </c>
      <c r="BQ287">
        <v>6</v>
      </c>
      <c r="BR287">
        <v>3</v>
      </c>
    </row>
    <row r="288" spans="1:70" x14ac:dyDescent="0.25">
      <c r="A288">
        <v>285</v>
      </c>
      <c r="B288">
        <v>13153</v>
      </c>
      <c r="C288">
        <v>88.540356000000003</v>
      </c>
      <c r="D288">
        <v>27.134978</v>
      </c>
      <c r="E288" t="s">
        <v>997</v>
      </c>
      <c r="F288">
        <v>1</v>
      </c>
      <c r="G288" t="s">
        <v>87</v>
      </c>
      <c r="H288" t="s">
        <v>72</v>
      </c>
      <c r="I288" t="s">
        <v>72</v>
      </c>
      <c r="J288" t="s">
        <v>88</v>
      </c>
      <c r="K288">
        <v>60</v>
      </c>
      <c r="L288">
        <v>56</v>
      </c>
      <c r="M288">
        <v>0</v>
      </c>
      <c r="N288">
        <v>3360</v>
      </c>
      <c r="O288" t="s">
        <v>89</v>
      </c>
      <c r="P288" t="s">
        <v>72</v>
      </c>
      <c r="Q288">
        <v>3360</v>
      </c>
      <c r="R288" t="s">
        <v>72</v>
      </c>
      <c r="S288" t="s">
        <v>73</v>
      </c>
      <c r="T288" t="s">
        <v>74</v>
      </c>
      <c r="U288" t="s">
        <v>776</v>
      </c>
      <c r="V288" t="s">
        <v>72</v>
      </c>
      <c r="W288" t="s">
        <v>76</v>
      </c>
      <c r="X288" t="s">
        <v>77</v>
      </c>
      <c r="Y288">
        <v>2013</v>
      </c>
      <c r="Z288" t="s">
        <v>72</v>
      </c>
      <c r="AA288" t="s">
        <v>72</v>
      </c>
      <c r="AB288" t="s">
        <v>72</v>
      </c>
      <c r="AC288" t="s">
        <v>72</v>
      </c>
      <c r="AD288" t="s">
        <v>72</v>
      </c>
      <c r="AE288">
        <v>0</v>
      </c>
      <c r="AF288" t="s">
        <v>186</v>
      </c>
      <c r="AG288" t="s">
        <v>94</v>
      </c>
      <c r="AH288" t="s">
        <v>95</v>
      </c>
      <c r="AI288" t="s">
        <v>96</v>
      </c>
      <c r="AJ288" t="s">
        <v>97</v>
      </c>
      <c r="AK288">
        <v>0</v>
      </c>
      <c r="AL288">
        <v>0</v>
      </c>
      <c r="AM288">
        <v>0</v>
      </c>
      <c r="AN288" t="s">
        <v>98</v>
      </c>
      <c r="AO288" t="s">
        <v>193</v>
      </c>
      <c r="AP288" t="s">
        <v>99</v>
      </c>
      <c r="AQ288" t="s">
        <v>72</v>
      </c>
      <c r="AR288" t="s">
        <v>72</v>
      </c>
      <c r="AS288" t="s">
        <v>72</v>
      </c>
      <c r="AT288" t="s">
        <v>484</v>
      </c>
      <c r="AU288" t="s">
        <v>72</v>
      </c>
      <c r="AV288" t="s">
        <v>72</v>
      </c>
      <c r="AW288" t="s">
        <v>72</v>
      </c>
      <c r="AX288" t="s">
        <v>998</v>
      </c>
      <c r="AY288">
        <v>42.964099900000001</v>
      </c>
      <c r="AZ288">
        <v>40</v>
      </c>
      <c r="BA288">
        <v>-1.28</v>
      </c>
      <c r="BB288">
        <v>552.91101070000002</v>
      </c>
      <c r="BC288">
        <v>-0.209062</v>
      </c>
      <c r="BD288">
        <v>0.24601999999999999</v>
      </c>
      <c r="BE288">
        <v>1521.9200439000001</v>
      </c>
      <c r="BF288">
        <v>5.5836201000000001</v>
      </c>
      <c r="BG288">
        <v>0.46222200000000002</v>
      </c>
      <c r="BH288">
        <v>2.7780999999999998</v>
      </c>
      <c r="BI288">
        <v>1.02565</v>
      </c>
      <c r="BJ288">
        <v>97.628097499999996</v>
      </c>
      <c r="BK288">
        <v>4</v>
      </c>
      <c r="BL288">
        <v>0</v>
      </c>
      <c r="BM288">
        <v>7514.2597655999998</v>
      </c>
      <c r="BN288">
        <v>5275.6499022999997</v>
      </c>
      <c r="BO288">
        <v>93.077499399999994</v>
      </c>
      <c r="BP288">
        <v>508</v>
      </c>
      <c r="BQ288">
        <v>6</v>
      </c>
      <c r="BR288">
        <v>3</v>
      </c>
    </row>
    <row r="289" spans="1:70" x14ac:dyDescent="0.25">
      <c r="A289">
        <v>286</v>
      </c>
      <c r="B289">
        <v>13154</v>
      </c>
      <c r="C289">
        <v>88.5434699999999</v>
      </c>
      <c r="D289">
        <v>27.134847000000001</v>
      </c>
      <c r="E289" t="s">
        <v>999</v>
      </c>
      <c r="F289">
        <v>1</v>
      </c>
      <c r="G289" t="s">
        <v>87</v>
      </c>
      <c r="H289" t="s">
        <v>72</v>
      </c>
      <c r="I289" t="s">
        <v>72</v>
      </c>
      <c r="J289" t="s">
        <v>88</v>
      </c>
      <c r="K289">
        <v>70</v>
      </c>
      <c r="L289">
        <v>18</v>
      </c>
      <c r="M289">
        <v>0</v>
      </c>
      <c r="N289">
        <v>1260</v>
      </c>
      <c r="O289" t="s">
        <v>89</v>
      </c>
      <c r="P289" t="s">
        <v>72</v>
      </c>
      <c r="Q289">
        <v>1260</v>
      </c>
      <c r="R289" t="s">
        <v>72</v>
      </c>
      <c r="S289" t="s">
        <v>73</v>
      </c>
      <c r="T289" t="s">
        <v>74</v>
      </c>
      <c r="U289" t="s">
        <v>776</v>
      </c>
      <c r="V289" t="s">
        <v>72</v>
      </c>
      <c r="W289" t="s">
        <v>76</v>
      </c>
      <c r="X289" t="s">
        <v>77</v>
      </c>
      <c r="Y289">
        <v>2013</v>
      </c>
      <c r="Z289" t="s">
        <v>72</v>
      </c>
      <c r="AA289" t="s">
        <v>72</v>
      </c>
      <c r="AB289" t="s">
        <v>72</v>
      </c>
      <c r="AC289" t="s">
        <v>72</v>
      </c>
      <c r="AD289" t="s">
        <v>72</v>
      </c>
      <c r="AE289">
        <v>0</v>
      </c>
      <c r="AF289" t="s">
        <v>79</v>
      </c>
      <c r="AG289" t="s">
        <v>94</v>
      </c>
      <c r="AH289" t="s">
        <v>95</v>
      </c>
      <c r="AI289" t="s">
        <v>96</v>
      </c>
      <c r="AJ289" t="s">
        <v>113</v>
      </c>
      <c r="AK289">
        <v>0</v>
      </c>
      <c r="AL289">
        <v>0</v>
      </c>
      <c r="AM289">
        <v>0</v>
      </c>
      <c r="AN289" t="s">
        <v>181</v>
      </c>
      <c r="AO289" t="s">
        <v>107</v>
      </c>
      <c r="AP289" t="s">
        <v>448</v>
      </c>
      <c r="AQ289" t="s">
        <v>72</v>
      </c>
      <c r="AR289" t="s">
        <v>72</v>
      </c>
      <c r="AS289" t="s">
        <v>72</v>
      </c>
      <c r="AT289" t="s">
        <v>484</v>
      </c>
      <c r="AU289" t="s">
        <v>72</v>
      </c>
      <c r="AV289" t="s">
        <v>72</v>
      </c>
      <c r="AW289" t="s">
        <v>72</v>
      </c>
      <c r="AX289" t="s">
        <v>998</v>
      </c>
      <c r="AY289">
        <v>34.937000300000001</v>
      </c>
      <c r="AZ289">
        <v>185</v>
      </c>
      <c r="BA289">
        <v>0.64</v>
      </c>
      <c r="BB289">
        <v>564.55603029999997</v>
      </c>
      <c r="BC289">
        <v>-0.14499400000000001</v>
      </c>
      <c r="BD289">
        <v>0.183534</v>
      </c>
      <c r="BE289">
        <v>1752.3199463000001</v>
      </c>
      <c r="BF289">
        <v>3.5724999999999998</v>
      </c>
      <c r="BG289">
        <v>0.507247</v>
      </c>
      <c r="BH289">
        <v>-0.35120000000000001</v>
      </c>
      <c r="BI289">
        <v>0.99745200000000001</v>
      </c>
      <c r="BJ289">
        <v>107.5289993</v>
      </c>
      <c r="BK289">
        <v>7</v>
      </c>
      <c r="BL289">
        <v>0</v>
      </c>
      <c r="BM289">
        <v>7315.0200194999998</v>
      </c>
      <c r="BN289">
        <v>5581.3598633000001</v>
      </c>
      <c r="BO289">
        <v>246.37100219999999</v>
      </c>
      <c r="BP289">
        <v>533</v>
      </c>
      <c r="BQ289">
        <v>6</v>
      </c>
      <c r="BR289">
        <v>3</v>
      </c>
    </row>
    <row r="290" spans="1:70" x14ac:dyDescent="0.25">
      <c r="A290">
        <v>287</v>
      </c>
      <c r="B290">
        <v>11697</v>
      </c>
      <c r="C290">
        <v>88.519288000000003</v>
      </c>
      <c r="D290">
        <v>27.138065999999899</v>
      </c>
      <c r="E290" t="s">
        <v>1000</v>
      </c>
      <c r="F290">
        <v>5</v>
      </c>
      <c r="G290" t="s">
        <v>87</v>
      </c>
      <c r="H290" t="s">
        <v>72</v>
      </c>
      <c r="I290" t="s">
        <v>72</v>
      </c>
      <c r="J290" t="s">
        <v>88</v>
      </c>
      <c r="K290">
        <v>250</v>
      </c>
      <c r="L290">
        <v>5</v>
      </c>
      <c r="M290">
        <v>0</v>
      </c>
      <c r="N290">
        <v>1250</v>
      </c>
      <c r="O290" t="s">
        <v>89</v>
      </c>
      <c r="P290" t="s">
        <v>72</v>
      </c>
      <c r="Q290">
        <v>6250</v>
      </c>
      <c r="R290" t="s">
        <v>72</v>
      </c>
      <c r="S290" t="s">
        <v>73</v>
      </c>
      <c r="T290" t="s">
        <v>74</v>
      </c>
      <c r="U290" t="s">
        <v>776</v>
      </c>
      <c r="V290" t="s">
        <v>1001</v>
      </c>
      <c r="W290" t="s">
        <v>1002</v>
      </c>
      <c r="X290" t="s">
        <v>673</v>
      </c>
      <c r="Y290">
        <v>1968</v>
      </c>
      <c r="Z290" t="s">
        <v>72</v>
      </c>
      <c r="AA290" t="s">
        <v>72</v>
      </c>
      <c r="AB290" t="s">
        <v>72</v>
      </c>
      <c r="AC290" t="s">
        <v>72</v>
      </c>
      <c r="AD290" t="s">
        <v>1003</v>
      </c>
      <c r="AE290">
        <v>0</v>
      </c>
      <c r="AF290" t="s">
        <v>79</v>
      </c>
      <c r="AG290" t="s">
        <v>128</v>
      </c>
      <c r="AH290" t="s">
        <v>95</v>
      </c>
      <c r="AI290" t="s">
        <v>96</v>
      </c>
      <c r="AJ290" t="s">
        <v>113</v>
      </c>
      <c r="AK290">
        <v>1974</v>
      </c>
      <c r="AL290">
        <v>0</v>
      </c>
      <c r="AM290">
        <v>0</v>
      </c>
      <c r="AN290" t="s">
        <v>98</v>
      </c>
      <c r="AO290" t="s">
        <v>72</v>
      </c>
      <c r="AP290" t="s">
        <v>99</v>
      </c>
      <c r="AQ290" t="s">
        <v>72</v>
      </c>
      <c r="AR290" t="s">
        <v>72</v>
      </c>
      <c r="AS290" t="s">
        <v>72</v>
      </c>
      <c r="AT290" t="s">
        <v>72</v>
      </c>
      <c r="AU290" t="s">
        <v>72</v>
      </c>
      <c r="AV290" t="s">
        <v>72</v>
      </c>
      <c r="AW290" t="s">
        <v>72</v>
      </c>
      <c r="AX290" t="s">
        <v>72</v>
      </c>
      <c r="AY290">
        <v>25.208400699999999</v>
      </c>
      <c r="AZ290">
        <v>204</v>
      </c>
      <c r="BA290">
        <v>-0.64</v>
      </c>
      <c r="BB290">
        <v>446.67300419999998</v>
      </c>
      <c r="BC290">
        <v>-0.12018</v>
      </c>
      <c r="BD290">
        <v>0.17690500000000001</v>
      </c>
      <c r="BE290">
        <v>285.59100339999998</v>
      </c>
      <c r="BF290">
        <v>7.7099900000000003</v>
      </c>
      <c r="BG290">
        <v>0.48718</v>
      </c>
      <c r="BH290">
        <v>3.6675301</v>
      </c>
      <c r="BI290">
        <v>1.20052</v>
      </c>
      <c r="BJ290">
        <v>521.56597899999997</v>
      </c>
      <c r="BK290">
        <v>4</v>
      </c>
      <c r="BL290">
        <v>0</v>
      </c>
      <c r="BM290">
        <v>9040.0498047000001</v>
      </c>
      <c r="BN290">
        <v>3170.2700195000002</v>
      </c>
      <c r="BO290">
        <v>257.73498540000003</v>
      </c>
      <c r="BP290">
        <v>377</v>
      </c>
      <c r="BQ290">
        <v>6</v>
      </c>
      <c r="BR290">
        <v>3</v>
      </c>
    </row>
    <row r="291" spans="1:70" x14ac:dyDescent="0.25">
      <c r="A291">
        <v>288</v>
      </c>
      <c r="B291">
        <v>13155</v>
      </c>
      <c r="C291">
        <v>88.536035999999896</v>
      </c>
      <c r="D291">
        <v>27.143115000000002</v>
      </c>
      <c r="E291" t="s">
        <v>1004</v>
      </c>
      <c r="F291">
        <v>1</v>
      </c>
      <c r="G291" t="s">
        <v>87</v>
      </c>
      <c r="H291" t="s">
        <v>72</v>
      </c>
      <c r="I291" t="s">
        <v>72</v>
      </c>
      <c r="J291" t="s">
        <v>88</v>
      </c>
      <c r="K291">
        <v>64</v>
      </c>
      <c r="L291">
        <v>16</v>
      </c>
      <c r="M291">
        <v>0</v>
      </c>
      <c r="N291">
        <v>1024</v>
      </c>
      <c r="O291" t="s">
        <v>89</v>
      </c>
      <c r="P291" t="s">
        <v>72</v>
      </c>
      <c r="Q291">
        <v>1024</v>
      </c>
      <c r="R291" t="s">
        <v>72</v>
      </c>
      <c r="S291" t="s">
        <v>73</v>
      </c>
      <c r="T291" t="s">
        <v>74</v>
      </c>
      <c r="U291" t="s">
        <v>776</v>
      </c>
      <c r="V291" t="s">
        <v>72</v>
      </c>
      <c r="W291" t="s">
        <v>76</v>
      </c>
      <c r="X291" t="s">
        <v>77</v>
      </c>
      <c r="Y291">
        <v>2013</v>
      </c>
      <c r="Z291" t="s">
        <v>72</v>
      </c>
      <c r="AA291" t="s">
        <v>72</v>
      </c>
      <c r="AB291" t="s">
        <v>72</v>
      </c>
      <c r="AC291" t="s">
        <v>72</v>
      </c>
      <c r="AD291" t="s">
        <v>72</v>
      </c>
      <c r="AE291">
        <v>0</v>
      </c>
      <c r="AF291" t="s">
        <v>79</v>
      </c>
      <c r="AG291" t="s">
        <v>94</v>
      </c>
      <c r="AH291" t="s">
        <v>95</v>
      </c>
      <c r="AI291" t="s">
        <v>96</v>
      </c>
      <c r="AJ291" t="s">
        <v>113</v>
      </c>
      <c r="AK291">
        <v>0</v>
      </c>
      <c r="AL291">
        <v>0</v>
      </c>
      <c r="AM291">
        <v>0</v>
      </c>
      <c r="AN291" t="s">
        <v>134</v>
      </c>
      <c r="AO291" t="s">
        <v>107</v>
      </c>
      <c r="AP291" t="s">
        <v>386</v>
      </c>
      <c r="AQ291" t="s">
        <v>72</v>
      </c>
      <c r="AR291" t="s">
        <v>72</v>
      </c>
      <c r="AS291" t="s">
        <v>72</v>
      </c>
      <c r="AT291" t="s">
        <v>484</v>
      </c>
      <c r="AU291" t="s">
        <v>72</v>
      </c>
      <c r="AV291" t="s">
        <v>72</v>
      </c>
      <c r="AW291" t="s">
        <v>72</v>
      </c>
      <c r="AX291" t="s">
        <v>998</v>
      </c>
      <c r="AY291">
        <v>55.036899599999998</v>
      </c>
      <c r="AZ291">
        <v>0</v>
      </c>
      <c r="BA291">
        <v>0</v>
      </c>
      <c r="BB291">
        <v>420.51400760000001</v>
      </c>
      <c r="BC291">
        <v>-0.121418</v>
      </c>
      <c r="BD291">
        <v>0.12912399999999999</v>
      </c>
      <c r="BE291">
        <v>600.26000980000003</v>
      </c>
      <c r="BF291">
        <v>3.5542799999999999</v>
      </c>
      <c r="BG291">
        <v>0.50980400000000003</v>
      </c>
      <c r="BH291">
        <v>1.45739</v>
      </c>
      <c r="BI291">
        <v>1.18692</v>
      </c>
      <c r="BJ291">
        <v>134.62899780000001</v>
      </c>
      <c r="BK291">
        <v>4</v>
      </c>
      <c r="BL291">
        <v>0</v>
      </c>
      <c r="BM291">
        <v>8495.0400391000003</v>
      </c>
      <c r="BN291">
        <v>4684.1699219000002</v>
      </c>
      <c r="BO291">
        <v>132.1660004</v>
      </c>
      <c r="BP291">
        <v>469</v>
      </c>
      <c r="BQ291">
        <v>6</v>
      </c>
      <c r="BR291">
        <v>3</v>
      </c>
    </row>
    <row r="292" spans="1:70" x14ac:dyDescent="0.25">
      <c r="A292">
        <v>289</v>
      </c>
      <c r="B292">
        <v>8790</v>
      </c>
      <c r="C292">
        <v>88.500332999999898</v>
      </c>
      <c r="D292">
        <v>27.154250000000001</v>
      </c>
      <c r="E292" t="s">
        <v>1005</v>
      </c>
      <c r="F292">
        <v>2.5</v>
      </c>
      <c r="G292" t="s">
        <v>671</v>
      </c>
      <c r="H292" t="s">
        <v>1006</v>
      </c>
      <c r="I292" t="s">
        <v>72</v>
      </c>
      <c r="J292" t="s">
        <v>562</v>
      </c>
      <c r="K292">
        <v>25</v>
      </c>
      <c r="L292">
        <v>30</v>
      </c>
      <c r="M292">
        <v>20</v>
      </c>
      <c r="N292">
        <v>750</v>
      </c>
      <c r="O292" t="s">
        <v>89</v>
      </c>
      <c r="P292" t="s">
        <v>72</v>
      </c>
      <c r="Q292">
        <v>1200</v>
      </c>
      <c r="R292" t="s">
        <v>72</v>
      </c>
      <c r="S292" t="s">
        <v>563</v>
      </c>
      <c r="T292" t="s">
        <v>564</v>
      </c>
      <c r="U292" t="s">
        <v>90</v>
      </c>
      <c r="V292" t="s">
        <v>72</v>
      </c>
      <c r="W292" t="s">
        <v>76</v>
      </c>
      <c r="X292" t="s">
        <v>77</v>
      </c>
      <c r="Y292">
        <v>0</v>
      </c>
      <c r="Z292" t="s">
        <v>72</v>
      </c>
      <c r="AA292" t="s">
        <v>72</v>
      </c>
      <c r="AB292" t="s">
        <v>72</v>
      </c>
      <c r="AC292" t="s">
        <v>72</v>
      </c>
      <c r="AD292" t="s">
        <v>977</v>
      </c>
      <c r="AE292">
        <v>0</v>
      </c>
      <c r="AF292" t="s">
        <v>79</v>
      </c>
      <c r="AG292" t="s">
        <v>94</v>
      </c>
      <c r="AH292" t="s">
        <v>95</v>
      </c>
      <c r="AI292" t="s">
        <v>80</v>
      </c>
      <c r="AJ292" t="s">
        <v>97</v>
      </c>
      <c r="AK292">
        <v>0</v>
      </c>
      <c r="AL292">
        <v>0</v>
      </c>
      <c r="AM292">
        <v>0</v>
      </c>
      <c r="AN292" t="s">
        <v>192</v>
      </c>
      <c r="AO292" t="s">
        <v>107</v>
      </c>
      <c r="AP292" t="s">
        <v>114</v>
      </c>
      <c r="AQ292" t="s">
        <v>72</v>
      </c>
      <c r="AR292" t="s">
        <v>72</v>
      </c>
      <c r="AS292" t="s">
        <v>72</v>
      </c>
      <c r="AT292" t="s">
        <v>72</v>
      </c>
      <c r="AU292" t="s">
        <v>72</v>
      </c>
      <c r="AV292" t="s">
        <v>567</v>
      </c>
      <c r="AW292" t="s">
        <v>72</v>
      </c>
      <c r="AX292" t="s">
        <v>568</v>
      </c>
      <c r="AY292">
        <v>32.631900799999997</v>
      </c>
      <c r="AZ292">
        <v>85</v>
      </c>
      <c r="BA292">
        <v>0</v>
      </c>
      <c r="BB292">
        <v>567.75897220000002</v>
      </c>
      <c r="BC292">
        <v>-0.162602</v>
      </c>
      <c r="BD292">
        <v>0.16918900000000001</v>
      </c>
      <c r="BE292">
        <v>223.60699460000001</v>
      </c>
      <c r="BF292">
        <v>4.3583102</v>
      </c>
      <c r="BG292">
        <v>0.51633899999999999</v>
      </c>
      <c r="BH292">
        <v>0.65422000000000002</v>
      </c>
      <c r="BI292">
        <v>0.32221</v>
      </c>
      <c r="BJ292">
        <v>939.41497800000002</v>
      </c>
      <c r="BK292">
        <v>4</v>
      </c>
      <c r="BL292">
        <v>0</v>
      </c>
      <c r="BM292">
        <v>8597.7597655999998</v>
      </c>
      <c r="BN292">
        <v>1324.3499756000001</v>
      </c>
      <c r="BO292">
        <v>88.210098299999999</v>
      </c>
      <c r="BP292">
        <v>958</v>
      </c>
      <c r="BQ292">
        <v>6</v>
      </c>
      <c r="BR292">
        <v>3</v>
      </c>
    </row>
    <row r="293" spans="1:70" x14ac:dyDescent="0.25">
      <c r="A293">
        <v>290</v>
      </c>
      <c r="B293">
        <v>9973</v>
      </c>
      <c r="C293">
        <v>88.512777999999898</v>
      </c>
      <c r="D293">
        <v>27.157056000000001</v>
      </c>
      <c r="E293" t="s">
        <v>1007</v>
      </c>
      <c r="F293">
        <v>2.5</v>
      </c>
      <c r="G293" t="s">
        <v>225</v>
      </c>
      <c r="H293" t="s">
        <v>581</v>
      </c>
      <c r="I293" t="s">
        <v>72</v>
      </c>
      <c r="J293" t="s">
        <v>562</v>
      </c>
      <c r="K293">
        <v>10</v>
      </c>
      <c r="L293">
        <v>35</v>
      </c>
      <c r="M293">
        <v>7</v>
      </c>
      <c r="N293">
        <v>350</v>
      </c>
      <c r="O293" t="s">
        <v>89</v>
      </c>
      <c r="P293" t="s">
        <v>72</v>
      </c>
      <c r="Q293">
        <v>490</v>
      </c>
      <c r="R293" t="s">
        <v>72</v>
      </c>
      <c r="S293" t="s">
        <v>563</v>
      </c>
      <c r="T293" t="s">
        <v>662</v>
      </c>
      <c r="U293" t="s">
        <v>776</v>
      </c>
      <c r="V293" t="s">
        <v>72</v>
      </c>
      <c r="W293" t="s">
        <v>92</v>
      </c>
      <c r="X293" t="s">
        <v>119</v>
      </c>
      <c r="Y293">
        <v>0</v>
      </c>
      <c r="Z293" t="s">
        <v>72</v>
      </c>
      <c r="AA293" t="s">
        <v>72</v>
      </c>
      <c r="AB293" t="s">
        <v>72</v>
      </c>
      <c r="AC293" t="s">
        <v>72</v>
      </c>
      <c r="AD293" t="s">
        <v>969</v>
      </c>
      <c r="AE293">
        <v>0</v>
      </c>
      <c r="AF293" t="s">
        <v>79</v>
      </c>
      <c r="AG293" t="s">
        <v>94</v>
      </c>
      <c r="AH293" t="s">
        <v>95</v>
      </c>
      <c r="AI293" t="s">
        <v>96</v>
      </c>
      <c r="AJ293" t="s">
        <v>97</v>
      </c>
      <c r="AK293">
        <v>0</v>
      </c>
      <c r="AL293">
        <v>0</v>
      </c>
      <c r="AM293">
        <v>0</v>
      </c>
      <c r="AN293" t="s">
        <v>192</v>
      </c>
      <c r="AO293" t="s">
        <v>82</v>
      </c>
      <c r="AP293" t="s">
        <v>114</v>
      </c>
      <c r="AQ293" t="s">
        <v>72</v>
      </c>
      <c r="AR293" t="s">
        <v>72</v>
      </c>
      <c r="AS293" t="s">
        <v>72</v>
      </c>
      <c r="AT293" t="s">
        <v>72</v>
      </c>
      <c r="AU293" t="s">
        <v>72</v>
      </c>
      <c r="AV293" t="s">
        <v>72</v>
      </c>
      <c r="AW293" t="s">
        <v>72</v>
      </c>
      <c r="AX293" t="s">
        <v>568</v>
      </c>
      <c r="AY293">
        <v>25.0984993</v>
      </c>
      <c r="AZ293">
        <v>96</v>
      </c>
      <c r="BA293">
        <v>1.28</v>
      </c>
      <c r="BB293">
        <v>528.69299320000005</v>
      </c>
      <c r="BC293">
        <v>-0.12919600000000001</v>
      </c>
      <c r="BD293">
        <v>0.152696</v>
      </c>
      <c r="BE293">
        <v>0</v>
      </c>
      <c r="BF293">
        <v>5.8620400000000004</v>
      </c>
      <c r="BG293">
        <v>0.51111200000000001</v>
      </c>
      <c r="BH293">
        <v>1.7157899999999999</v>
      </c>
      <c r="BI293">
        <v>0.33525899999999997</v>
      </c>
      <c r="BJ293">
        <v>821.77398679999999</v>
      </c>
      <c r="BK293">
        <v>4</v>
      </c>
      <c r="BL293">
        <v>0</v>
      </c>
      <c r="BM293">
        <v>9165.9804688000004</v>
      </c>
      <c r="BN293">
        <v>2567.6499023000001</v>
      </c>
      <c r="BO293">
        <v>163.88699339999999</v>
      </c>
      <c r="BP293">
        <v>705</v>
      </c>
      <c r="BQ293">
        <v>6</v>
      </c>
      <c r="BR293">
        <v>3</v>
      </c>
    </row>
    <row r="294" spans="1:70" x14ac:dyDescent="0.25">
      <c r="A294">
        <v>291</v>
      </c>
      <c r="B294">
        <v>9946</v>
      </c>
      <c r="C294">
        <v>88.522499999999894</v>
      </c>
      <c r="D294">
        <v>27.156806</v>
      </c>
      <c r="E294" t="s">
        <v>1008</v>
      </c>
      <c r="F294">
        <v>2.5</v>
      </c>
      <c r="G294" t="s">
        <v>225</v>
      </c>
      <c r="H294" t="s">
        <v>1009</v>
      </c>
      <c r="I294" t="s">
        <v>72</v>
      </c>
      <c r="J294" t="s">
        <v>562</v>
      </c>
      <c r="K294">
        <v>15</v>
      </c>
      <c r="L294">
        <v>30</v>
      </c>
      <c r="M294">
        <v>10</v>
      </c>
      <c r="N294">
        <v>450</v>
      </c>
      <c r="O294" t="s">
        <v>89</v>
      </c>
      <c r="P294" t="s">
        <v>72</v>
      </c>
      <c r="Q294">
        <v>600</v>
      </c>
      <c r="R294" t="s">
        <v>72</v>
      </c>
      <c r="S294" t="s">
        <v>563</v>
      </c>
      <c r="T294" t="s">
        <v>662</v>
      </c>
      <c r="U294" t="s">
        <v>776</v>
      </c>
      <c r="V294" t="s">
        <v>72</v>
      </c>
      <c r="W294" t="s">
        <v>92</v>
      </c>
      <c r="X294" t="s">
        <v>77</v>
      </c>
      <c r="Y294">
        <v>0</v>
      </c>
      <c r="Z294" t="s">
        <v>72</v>
      </c>
      <c r="AA294" t="s">
        <v>72</v>
      </c>
      <c r="AB294" t="s">
        <v>72</v>
      </c>
      <c r="AC294" t="s">
        <v>72</v>
      </c>
      <c r="AD294" t="s">
        <v>969</v>
      </c>
      <c r="AE294">
        <v>0</v>
      </c>
      <c r="AF294" t="s">
        <v>148</v>
      </c>
      <c r="AG294" t="s">
        <v>385</v>
      </c>
      <c r="AH294" t="s">
        <v>95</v>
      </c>
      <c r="AI294" t="s">
        <v>96</v>
      </c>
      <c r="AJ294" t="s">
        <v>97</v>
      </c>
      <c r="AK294">
        <v>0</v>
      </c>
      <c r="AL294">
        <v>0</v>
      </c>
      <c r="AM294">
        <v>0</v>
      </c>
      <c r="AN294" t="s">
        <v>98</v>
      </c>
      <c r="AO294" t="s">
        <v>82</v>
      </c>
      <c r="AP294" t="s">
        <v>114</v>
      </c>
      <c r="AQ294" t="s">
        <v>72</v>
      </c>
      <c r="AR294" t="s">
        <v>72</v>
      </c>
      <c r="AS294" t="s">
        <v>72</v>
      </c>
      <c r="AT294" t="s">
        <v>72</v>
      </c>
      <c r="AU294" t="s">
        <v>72</v>
      </c>
      <c r="AV294" t="s">
        <v>72</v>
      </c>
      <c r="AW294" t="s">
        <v>72</v>
      </c>
      <c r="AX294" t="s">
        <v>568</v>
      </c>
      <c r="AY294">
        <v>35.806198100000003</v>
      </c>
      <c r="AZ294">
        <v>148</v>
      </c>
      <c r="BA294">
        <v>0.64</v>
      </c>
      <c r="BB294">
        <v>451.19699100000003</v>
      </c>
      <c r="BC294">
        <v>-0.129666</v>
      </c>
      <c r="BD294">
        <v>0.16631799999999999</v>
      </c>
      <c r="BE294">
        <v>37.5</v>
      </c>
      <c r="BF294">
        <v>3.9509200999999998</v>
      </c>
      <c r="BG294">
        <v>0.53418900000000002</v>
      </c>
      <c r="BH294">
        <v>0.36845299999999997</v>
      </c>
      <c r="BI294">
        <v>1.1050199999999999</v>
      </c>
      <c r="BJ294">
        <v>525.59497069999998</v>
      </c>
      <c r="BK294">
        <v>4</v>
      </c>
      <c r="BL294">
        <v>0</v>
      </c>
      <c r="BM294">
        <v>9875.2597655999998</v>
      </c>
      <c r="BN294">
        <v>3463.0200195000002</v>
      </c>
      <c r="BO294">
        <v>43.876701400000002</v>
      </c>
      <c r="BP294">
        <v>572</v>
      </c>
      <c r="BQ294">
        <v>6</v>
      </c>
      <c r="BR294">
        <v>3</v>
      </c>
    </row>
    <row r="295" spans="1:70" x14ac:dyDescent="0.25">
      <c r="A295">
        <v>292</v>
      </c>
      <c r="B295">
        <v>9974</v>
      </c>
      <c r="C295">
        <v>88.512472000000002</v>
      </c>
      <c r="D295">
        <v>27.158111000000002</v>
      </c>
      <c r="E295" t="s">
        <v>1010</v>
      </c>
      <c r="F295">
        <v>2.5</v>
      </c>
      <c r="G295" t="s">
        <v>225</v>
      </c>
      <c r="H295" t="s">
        <v>1011</v>
      </c>
      <c r="I295" t="s">
        <v>72</v>
      </c>
      <c r="J295" t="s">
        <v>562</v>
      </c>
      <c r="K295">
        <v>15</v>
      </c>
      <c r="L295">
        <v>112</v>
      </c>
      <c r="M295">
        <v>10</v>
      </c>
      <c r="N295">
        <v>1680</v>
      </c>
      <c r="O295" t="s">
        <v>89</v>
      </c>
      <c r="P295" t="s">
        <v>72</v>
      </c>
      <c r="Q295">
        <v>2240</v>
      </c>
      <c r="R295" t="s">
        <v>72</v>
      </c>
      <c r="S295" t="s">
        <v>563</v>
      </c>
      <c r="T295" t="s">
        <v>662</v>
      </c>
      <c r="U295" t="s">
        <v>776</v>
      </c>
      <c r="V295" t="s">
        <v>72</v>
      </c>
      <c r="W295" t="s">
        <v>76</v>
      </c>
      <c r="X295" t="s">
        <v>119</v>
      </c>
      <c r="Y295">
        <v>0</v>
      </c>
      <c r="Z295" t="s">
        <v>72</v>
      </c>
      <c r="AA295" t="s">
        <v>72</v>
      </c>
      <c r="AB295" t="s">
        <v>72</v>
      </c>
      <c r="AC295" t="s">
        <v>72</v>
      </c>
      <c r="AD295" t="s">
        <v>969</v>
      </c>
      <c r="AE295">
        <v>0</v>
      </c>
      <c r="AF295" t="s">
        <v>79</v>
      </c>
      <c r="AG295" t="s">
        <v>94</v>
      </c>
      <c r="AH295" t="s">
        <v>95</v>
      </c>
      <c r="AI295" t="s">
        <v>121</v>
      </c>
      <c r="AJ295" t="s">
        <v>97</v>
      </c>
      <c r="AK295">
        <v>0</v>
      </c>
      <c r="AL295">
        <v>0</v>
      </c>
      <c r="AM295">
        <v>0</v>
      </c>
      <c r="AN295" t="s">
        <v>192</v>
      </c>
      <c r="AO295" t="s">
        <v>82</v>
      </c>
      <c r="AP295" t="s">
        <v>114</v>
      </c>
      <c r="AQ295" t="s">
        <v>72</v>
      </c>
      <c r="AR295" t="s">
        <v>72</v>
      </c>
      <c r="AS295" t="s">
        <v>72</v>
      </c>
      <c r="AT295" t="s">
        <v>72</v>
      </c>
      <c r="AU295" t="s">
        <v>72</v>
      </c>
      <c r="AV295" t="s">
        <v>567</v>
      </c>
      <c r="AW295" t="s">
        <v>72</v>
      </c>
      <c r="AX295" t="s">
        <v>568</v>
      </c>
      <c r="AY295">
        <v>25.416299800000001</v>
      </c>
      <c r="AZ295">
        <v>100</v>
      </c>
      <c r="BA295">
        <v>0</v>
      </c>
      <c r="BB295">
        <v>536.34997559999999</v>
      </c>
      <c r="BC295">
        <v>-0.15237000000000001</v>
      </c>
      <c r="BD295">
        <v>0.17402300000000001</v>
      </c>
      <c r="BE295">
        <v>12.5</v>
      </c>
      <c r="BF295">
        <v>7.1817998999999997</v>
      </c>
      <c r="BG295">
        <v>0.52991699999999997</v>
      </c>
      <c r="BH295">
        <v>3.1498898999999998</v>
      </c>
      <c r="BI295">
        <v>0.25767000000000001</v>
      </c>
      <c r="BJ295">
        <v>919.23901369999999</v>
      </c>
      <c r="BK295">
        <v>4</v>
      </c>
      <c r="BL295">
        <v>0</v>
      </c>
      <c r="BM295">
        <v>9050.9804688000004</v>
      </c>
      <c r="BN295">
        <v>2588.4699707</v>
      </c>
      <c r="BO295">
        <v>171.52900700000001</v>
      </c>
      <c r="BP295">
        <v>768</v>
      </c>
      <c r="BQ295">
        <v>6</v>
      </c>
      <c r="BR295">
        <v>3</v>
      </c>
    </row>
    <row r="296" spans="1:70" x14ac:dyDescent="0.25">
      <c r="A296">
        <v>293</v>
      </c>
      <c r="B296">
        <v>9947</v>
      </c>
      <c r="C296">
        <v>88.522193999999899</v>
      </c>
      <c r="D296">
        <v>27.1576939999999</v>
      </c>
      <c r="E296" t="s">
        <v>1012</v>
      </c>
      <c r="F296">
        <v>2.5</v>
      </c>
      <c r="G296" t="s">
        <v>225</v>
      </c>
      <c r="H296" t="s">
        <v>1013</v>
      </c>
      <c r="I296" t="s">
        <v>72</v>
      </c>
      <c r="J296" t="s">
        <v>562</v>
      </c>
      <c r="K296">
        <v>10</v>
      </c>
      <c r="L296">
        <v>20</v>
      </c>
      <c r="M296">
        <v>8</v>
      </c>
      <c r="N296">
        <v>200</v>
      </c>
      <c r="O296" t="s">
        <v>817</v>
      </c>
      <c r="P296" t="s">
        <v>72</v>
      </c>
      <c r="Q296">
        <v>320</v>
      </c>
      <c r="R296" t="s">
        <v>72</v>
      </c>
      <c r="S296" t="s">
        <v>563</v>
      </c>
      <c r="T296" t="s">
        <v>662</v>
      </c>
      <c r="U296" t="s">
        <v>776</v>
      </c>
      <c r="V296" t="s">
        <v>72</v>
      </c>
      <c r="W296" t="s">
        <v>76</v>
      </c>
      <c r="X296" t="s">
        <v>77</v>
      </c>
      <c r="Y296">
        <v>0</v>
      </c>
      <c r="Z296" t="s">
        <v>72</v>
      </c>
      <c r="AA296" t="s">
        <v>72</v>
      </c>
      <c r="AB296" t="s">
        <v>72</v>
      </c>
      <c r="AC296" t="s">
        <v>72</v>
      </c>
      <c r="AD296" t="s">
        <v>969</v>
      </c>
      <c r="AE296">
        <v>0</v>
      </c>
      <c r="AF296" t="s">
        <v>148</v>
      </c>
      <c r="AG296" t="s">
        <v>1014</v>
      </c>
      <c r="AH296" t="s">
        <v>95</v>
      </c>
      <c r="AI296" t="s">
        <v>121</v>
      </c>
      <c r="AJ296" t="s">
        <v>97</v>
      </c>
      <c r="AK296">
        <v>0</v>
      </c>
      <c r="AL296">
        <v>0</v>
      </c>
      <c r="AM296">
        <v>0</v>
      </c>
      <c r="AN296" t="s">
        <v>98</v>
      </c>
      <c r="AO296" t="s">
        <v>82</v>
      </c>
      <c r="AP296" t="s">
        <v>114</v>
      </c>
      <c r="AQ296" t="s">
        <v>72</v>
      </c>
      <c r="AR296" t="s">
        <v>72</v>
      </c>
      <c r="AS296" t="s">
        <v>72</v>
      </c>
      <c r="AT296" t="s">
        <v>72</v>
      </c>
      <c r="AU296" t="s">
        <v>72</v>
      </c>
      <c r="AV296" t="s">
        <v>1015</v>
      </c>
      <c r="AW296" t="s">
        <v>72</v>
      </c>
      <c r="AX296" t="s">
        <v>462</v>
      </c>
      <c r="AY296">
        <v>33.346000699999998</v>
      </c>
      <c r="AZ296">
        <v>103</v>
      </c>
      <c r="BA296">
        <v>0.64</v>
      </c>
      <c r="BB296">
        <v>461.3259888</v>
      </c>
      <c r="BC296">
        <v>-0.120923</v>
      </c>
      <c r="BD296">
        <v>0.15019399999999999</v>
      </c>
      <c r="BE296">
        <v>12.5</v>
      </c>
      <c r="BF296">
        <v>4.5536798999999997</v>
      </c>
      <c r="BG296">
        <v>0.48888900000000002</v>
      </c>
      <c r="BH296">
        <v>0.96955400000000003</v>
      </c>
      <c r="BI296">
        <v>0.99141500000000005</v>
      </c>
      <c r="BJ296">
        <v>565.96197510000002</v>
      </c>
      <c r="BK296">
        <v>4</v>
      </c>
      <c r="BL296">
        <v>0</v>
      </c>
      <c r="BM296">
        <v>9781.1699219000002</v>
      </c>
      <c r="BN296">
        <v>3459.25</v>
      </c>
      <c r="BO296">
        <v>73.217399599999993</v>
      </c>
      <c r="BP296">
        <v>567</v>
      </c>
      <c r="BQ296">
        <v>6</v>
      </c>
      <c r="BR296">
        <v>3</v>
      </c>
    </row>
    <row r="297" spans="1:70" x14ac:dyDescent="0.25">
      <c r="A297">
        <v>294</v>
      </c>
      <c r="B297">
        <v>9970</v>
      </c>
      <c r="C297">
        <v>88.521833000000001</v>
      </c>
      <c r="D297">
        <v>27.1583609999999</v>
      </c>
      <c r="E297" t="s">
        <v>1016</v>
      </c>
      <c r="F297">
        <v>2.5</v>
      </c>
      <c r="G297" t="s">
        <v>225</v>
      </c>
      <c r="H297" t="s">
        <v>1017</v>
      </c>
      <c r="I297" t="s">
        <v>72</v>
      </c>
      <c r="J297" t="s">
        <v>562</v>
      </c>
      <c r="K297">
        <v>200</v>
      </c>
      <c r="L297">
        <v>150</v>
      </c>
      <c r="M297">
        <v>150</v>
      </c>
      <c r="N297">
        <v>30000</v>
      </c>
      <c r="O297" t="s">
        <v>89</v>
      </c>
      <c r="P297" t="s">
        <v>72</v>
      </c>
      <c r="Q297">
        <v>45000</v>
      </c>
      <c r="R297" t="s">
        <v>72</v>
      </c>
      <c r="S297" t="s">
        <v>563</v>
      </c>
      <c r="T297" t="s">
        <v>662</v>
      </c>
      <c r="U297" t="s">
        <v>776</v>
      </c>
      <c r="V297" t="s">
        <v>72</v>
      </c>
      <c r="W297" t="s">
        <v>76</v>
      </c>
      <c r="X297" t="s">
        <v>119</v>
      </c>
      <c r="Y297">
        <v>0</v>
      </c>
      <c r="Z297" t="s">
        <v>72</v>
      </c>
      <c r="AA297" t="s">
        <v>72</v>
      </c>
      <c r="AB297" t="s">
        <v>72</v>
      </c>
      <c r="AC297" t="s">
        <v>72</v>
      </c>
      <c r="AD297" t="s">
        <v>969</v>
      </c>
      <c r="AE297">
        <v>100</v>
      </c>
      <c r="AF297" t="s">
        <v>79</v>
      </c>
      <c r="AG297" t="s">
        <v>94</v>
      </c>
      <c r="AH297" t="s">
        <v>95</v>
      </c>
      <c r="AI297" t="s">
        <v>80</v>
      </c>
      <c r="AJ297" t="s">
        <v>97</v>
      </c>
      <c r="AK297">
        <v>0</v>
      </c>
      <c r="AL297">
        <v>0</v>
      </c>
      <c r="AM297">
        <v>0</v>
      </c>
      <c r="AN297" t="s">
        <v>98</v>
      </c>
      <c r="AO297" t="s">
        <v>82</v>
      </c>
      <c r="AP297" t="s">
        <v>386</v>
      </c>
      <c r="AQ297" t="s">
        <v>72</v>
      </c>
      <c r="AR297" t="s">
        <v>72</v>
      </c>
      <c r="AS297" t="s">
        <v>72</v>
      </c>
      <c r="AT297" t="s">
        <v>72</v>
      </c>
      <c r="AU297" t="s">
        <v>72</v>
      </c>
      <c r="AV297" t="s">
        <v>72</v>
      </c>
      <c r="AW297" t="s">
        <v>72</v>
      </c>
      <c r="AX297" t="s">
        <v>568</v>
      </c>
      <c r="AY297">
        <v>37.162998199999997</v>
      </c>
      <c r="AZ297">
        <v>117</v>
      </c>
      <c r="BA297">
        <v>0</v>
      </c>
      <c r="BB297">
        <v>492.43600459999999</v>
      </c>
      <c r="BC297">
        <v>-0.13316700000000001</v>
      </c>
      <c r="BD297">
        <v>0.15571299999999999</v>
      </c>
      <c r="BE297">
        <v>12.5</v>
      </c>
      <c r="BF297">
        <v>4.5945301000000001</v>
      </c>
      <c r="BG297">
        <v>0.495728</v>
      </c>
      <c r="BH297">
        <v>1.33392</v>
      </c>
      <c r="BI297">
        <v>0.93706299999999998</v>
      </c>
      <c r="BJ297">
        <v>613.64697269999999</v>
      </c>
      <c r="BK297">
        <v>4</v>
      </c>
      <c r="BL297">
        <v>0</v>
      </c>
      <c r="BM297">
        <v>9703.6796875</v>
      </c>
      <c r="BN297">
        <v>3449.8200683999999</v>
      </c>
      <c r="BO297">
        <v>59.036201499999997</v>
      </c>
      <c r="BP297">
        <v>568</v>
      </c>
      <c r="BQ297">
        <v>6</v>
      </c>
      <c r="BR297">
        <v>3</v>
      </c>
    </row>
    <row r="298" spans="1:70" x14ac:dyDescent="0.25">
      <c r="A298">
        <v>295</v>
      </c>
      <c r="B298">
        <v>9975</v>
      </c>
      <c r="C298">
        <v>88.514611000000002</v>
      </c>
      <c r="D298">
        <v>27.158971999999899</v>
      </c>
      <c r="E298" t="s">
        <v>1018</v>
      </c>
      <c r="F298">
        <v>2.5</v>
      </c>
      <c r="G298" t="s">
        <v>225</v>
      </c>
      <c r="H298" t="s">
        <v>1019</v>
      </c>
      <c r="I298" t="s">
        <v>72</v>
      </c>
      <c r="J298" t="s">
        <v>562</v>
      </c>
      <c r="K298">
        <v>15</v>
      </c>
      <c r="L298">
        <v>50</v>
      </c>
      <c r="M298">
        <v>12</v>
      </c>
      <c r="N298">
        <v>750</v>
      </c>
      <c r="O298" t="s">
        <v>89</v>
      </c>
      <c r="P298" t="s">
        <v>72</v>
      </c>
      <c r="Q298">
        <v>1200</v>
      </c>
      <c r="R298" t="s">
        <v>72</v>
      </c>
      <c r="S298" t="s">
        <v>563</v>
      </c>
      <c r="T298" t="s">
        <v>662</v>
      </c>
      <c r="U298" t="s">
        <v>776</v>
      </c>
      <c r="V298" t="s">
        <v>72</v>
      </c>
      <c r="W298" t="s">
        <v>76</v>
      </c>
      <c r="X298" t="s">
        <v>119</v>
      </c>
      <c r="Y298">
        <v>0</v>
      </c>
      <c r="Z298" t="s">
        <v>72</v>
      </c>
      <c r="AA298" t="s">
        <v>72</v>
      </c>
      <c r="AB298" t="s">
        <v>72</v>
      </c>
      <c r="AC298" t="s">
        <v>72</v>
      </c>
      <c r="AD298" t="s">
        <v>969</v>
      </c>
      <c r="AE298">
        <v>0</v>
      </c>
      <c r="AF298" t="s">
        <v>148</v>
      </c>
      <c r="AG298" t="s">
        <v>385</v>
      </c>
      <c r="AH298" t="s">
        <v>95</v>
      </c>
      <c r="AI298" t="s">
        <v>80</v>
      </c>
      <c r="AJ298" t="s">
        <v>97</v>
      </c>
      <c r="AK298">
        <v>0</v>
      </c>
      <c r="AL298">
        <v>0</v>
      </c>
      <c r="AM298">
        <v>0</v>
      </c>
      <c r="AN298" t="s">
        <v>192</v>
      </c>
      <c r="AO298" t="s">
        <v>82</v>
      </c>
      <c r="AP298" t="s">
        <v>114</v>
      </c>
      <c r="AQ298" t="s">
        <v>72</v>
      </c>
      <c r="AR298" t="s">
        <v>72</v>
      </c>
      <c r="AS298" t="s">
        <v>72</v>
      </c>
      <c r="AT298" t="s">
        <v>72</v>
      </c>
      <c r="AU298" t="s">
        <v>72</v>
      </c>
      <c r="AV298" t="s">
        <v>1015</v>
      </c>
      <c r="AW298" t="s">
        <v>72</v>
      </c>
      <c r="AX298" t="s">
        <v>1020</v>
      </c>
      <c r="AY298">
        <v>30.998800299999999</v>
      </c>
      <c r="AZ298">
        <v>71</v>
      </c>
      <c r="BA298">
        <v>0.64</v>
      </c>
      <c r="BB298">
        <v>525.77197269999999</v>
      </c>
      <c r="BC298">
        <v>-0.149038</v>
      </c>
      <c r="BD298">
        <v>0.16716</v>
      </c>
      <c r="BE298">
        <v>0</v>
      </c>
      <c r="BF298">
        <v>3.7683798999999998</v>
      </c>
      <c r="BG298">
        <v>0.46198800000000001</v>
      </c>
      <c r="BH298">
        <v>-0.54677600000000004</v>
      </c>
      <c r="BI298">
        <v>0.37442500000000001</v>
      </c>
      <c r="BJ298">
        <v>1091.5200195</v>
      </c>
      <c r="BK298">
        <v>4</v>
      </c>
      <c r="BL298">
        <v>0</v>
      </c>
      <c r="BM298">
        <v>9142.2402344000002</v>
      </c>
      <c r="BN298">
        <v>2817.5</v>
      </c>
      <c r="BO298">
        <v>161.5650024</v>
      </c>
      <c r="BP298">
        <v>786</v>
      </c>
      <c r="BQ298">
        <v>6</v>
      </c>
      <c r="BR298">
        <v>3</v>
      </c>
    </row>
    <row r="299" spans="1:70" x14ac:dyDescent="0.25">
      <c r="A299">
        <v>296</v>
      </c>
      <c r="B299">
        <v>296</v>
      </c>
      <c r="C299">
        <v>88.528999999999897</v>
      </c>
      <c r="D299">
        <v>27.1585</v>
      </c>
      <c r="E299" t="s">
        <v>1021</v>
      </c>
      <c r="F299">
        <v>1</v>
      </c>
      <c r="G299" t="s">
        <v>661</v>
      </c>
      <c r="H299" t="s">
        <v>72</v>
      </c>
      <c r="I299" t="s">
        <v>72</v>
      </c>
      <c r="J299" t="s">
        <v>72</v>
      </c>
      <c r="K299">
        <v>84</v>
      </c>
      <c r="L299">
        <v>60</v>
      </c>
      <c r="M299">
        <v>84</v>
      </c>
      <c r="N299">
        <v>0</v>
      </c>
      <c r="O299" t="s">
        <v>89</v>
      </c>
      <c r="P299" t="s">
        <v>1022</v>
      </c>
      <c r="Q299">
        <v>0</v>
      </c>
      <c r="R299" t="s">
        <v>72</v>
      </c>
      <c r="S299" t="s">
        <v>563</v>
      </c>
      <c r="T299" t="s">
        <v>662</v>
      </c>
      <c r="U299" t="s">
        <v>1023</v>
      </c>
      <c r="V299" t="s">
        <v>72</v>
      </c>
      <c r="W299" t="s">
        <v>76</v>
      </c>
      <c r="X299" t="s">
        <v>77</v>
      </c>
      <c r="Y299">
        <v>0</v>
      </c>
      <c r="Z299" t="s">
        <v>72</v>
      </c>
      <c r="AA299" t="s">
        <v>72</v>
      </c>
      <c r="AB299" t="s">
        <v>72</v>
      </c>
      <c r="AC299" t="s">
        <v>72</v>
      </c>
      <c r="AD299" t="s">
        <v>1024</v>
      </c>
      <c r="AE299">
        <v>0</v>
      </c>
      <c r="AF299" t="s">
        <v>148</v>
      </c>
      <c r="AG299" t="s">
        <v>94</v>
      </c>
      <c r="AH299" t="s">
        <v>443</v>
      </c>
      <c r="AI299" t="s">
        <v>121</v>
      </c>
      <c r="AJ299" t="s">
        <v>97</v>
      </c>
      <c r="AK299">
        <v>0</v>
      </c>
      <c r="AL299">
        <v>0</v>
      </c>
      <c r="AM299">
        <v>0</v>
      </c>
      <c r="AN299" t="s">
        <v>271</v>
      </c>
      <c r="AO299" t="s">
        <v>107</v>
      </c>
      <c r="AP299" t="s">
        <v>665</v>
      </c>
      <c r="AQ299" t="s">
        <v>72</v>
      </c>
      <c r="AR299" t="s">
        <v>72</v>
      </c>
      <c r="AS299" t="s">
        <v>72</v>
      </c>
      <c r="AT299" t="s">
        <v>273</v>
      </c>
      <c r="AU299" t="s">
        <v>72</v>
      </c>
      <c r="AV299" t="s">
        <v>666</v>
      </c>
      <c r="AW299" t="s">
        <v>72</v>
      </c>
      <c r="AX299" t="s">
        <v>1025</v>
      </c>
      <c r="AY299">
        <v>39.451698299999997</v>
      </c>
      <c r="AZ299">
        <v>176</v>
      </c>
      <c r="BA299">
        <v>-2.5599999000000002</v>
      </c>
      <c r="BB299">
        <v>381.0469971</v>
      </c>
      <c r="BC299">
        <v>-7.6284900000000003E-2</v>
      </c>
      <c r="BD299">
        <v>0.12661600000000001</v>
      </c>
      <c r="BE299">
        <v>0</v>
      </c>
      <c r="BF299">
        <v>4.3300599999999996</v>
      </c>
      <c r="BG299">
        <v>0.44856000000000001</v>
      </c>
      <c r="BH299">
        <v>1.19286</v>
      </c>
      <c r="BI299">
        <v>1.13083</v>
      </c>
      <c r="BJ299">
        <v>67.314598099999998</v>
      </c>
      <c r="BK299">
        <v>-9999</v>
      </c>
      <c r="BL299">
        <v>0</v>
      </c>
      <c r="BM299">
        <v>9619.3896483999997</v>
      </c>
      <c r="BN299">
        <v>4131.1499022999997</v>
      </c>
      <c r="BO299">
        <v>244.05799870000001</v>
      </c>
      <c r="BP299">
        <v>255</v>
      </c>
      <c r="BQ299">
        <v>6</v>
      </c>
      <c r="BR299">
        <v>3</v>
      </c>
    </row>
    <row r="300" spans="1:70" x14ac:dyDescent="0.25">
      <c r="A300">
        <v>297</v>
      </c>
      <c r="B300">
        <v>9321</v>
      </c>
      <c r="C300">
        <v>88.505888999999897</v>
      </c>
      <c r="D300">
        <v>27.160722</v>
      </c>
      <c r="E300" t="s">
        <v>1026</v>
      </c>
      <c r="F300">
        <v>2.5</v>
      </c>
      <c r="G300" t="s">
        <v>225</v>
      </c>
      <c r="H300" t="s">
        <v>1027</v>
      </c>
      <c r="I300" t="s">
        <v>72</v>
      </c>
      <c r="J300" t="s">
        <v>562</v>
      </c>
      <c r="K300">
        <v>15</v>
      </c>
      <c r="L300">
        <v>200</v>
      </c>
      <c r="M300">
        <v>8</v>
      </c>
      <c r="N300">
        <v>3000</v>
      </c>
      <c r="O300" t="s">
        <v>89</v>
      </c>
      <c r="P300" t="s">
        <v>72</v>
      </c>
      <c r="Q300">
        <v>3200</v>
      </c>
      <c r="R300" t="s">
        <v>72</v>
      </c>
      <c r="S300" t="s">
        <v>563</v>
      </c>
      <c r="T300" t="s">
        <v>564</v>
      </c>
      <c r="U300" t="s">
        <v>776</v>
      </c>
      <c r="V300" t="s">
        <v>72</v>
      </c>
      <c r="W300" t="s">
        <v>76</v>
      </c>
      <c r="X300" t="s">
        <v>119</v>
      </c>
      <c r="Y300">
        <v>0</v>
      </c>
      <c r="Z300" t="s">
        <v>72</v>
      </c>
      <c r="AA300" t="s">
        <v>72</v>
      </c>
      <c r="AB300" t="s">
        <v>72</v>
      </c>
      <c r="AC300" t="s">
        <v>72</v>
      </c>
      <c r="AD300" t="s">
        <v>969</v>
      </c>
      <c r="AE300">
        <v>0</v>
      </c>
      <c r="AF300" t="s">
        <v>79</v>
      </c>
      <c r="AG300" t="s">
        <v>94</v>
      </c>
      <c r="AH300" t="s">
        <v>95</v>
      </c>
      <c r="AI300" t="s">
        <v>121</v>
      </c>
      <c r="AJ300" t="s">
        <v>97</v>
      </c>
      <c r="AK300">
        <v>0</v>
      </c>
      <c r="AL300">
        <v>0</v>
      </c>
      <c r="AM300">
        <v>0</v>
      </c>
      <c r="AN300" t="s">
        <v>192</v>
      </c>
      <c r="AO300" t="s">
        <v>82</v>
      </c>
      <c r="AP300" t="s">
        <v>114</v>
      </c>
      <c r="AQ300" t="s">
        <v>72</v>
      </c>
      <c r="AR300" t="s">
        <v>72</v>
      </c>
      <c r="AS300" t="s">
        <v>72</v>
      </c>
      <c r="AT300" t="s">
        <v>72</v>
      </c>
      <c r="AU300" t="s">
        <v>72</v>
      </c>
      <c r="AV300" t="s">
        <v>567</v>
      </c>
      <c r="AW300" t="s">
        <v>72</v>
      </c>
      <c r="AX300" t="s">
        <v>568</v>
      </c>
      <c r="AY300">
        <v>33.199500999999998</v>
      </c>
      <c r="AZ300">
        <v>52</v>
      </c>
      <c r="BA300">
        <v>0.64</v>
      </c>
      <c r="BB300">
        <v>573.42102050000005</v>
      </c>
      <c r="BC300">
        <v>-0.144674</v>
      </c>
      <c r="BD300">
        <v>0.149955</v>
      </c>
      <c r="BE300">
        <v>12.5</v>
      </c>
      <c r="BF300">
        <v>3.6429600999999998</v>
      </c>
      <c r="BG300">
        <v>0.512077</v>
      </c>
      <c r="BH300">
        <v>-0.42155599999999999</v>
      </c>
      <c r="BI300">
        <v>5.1392100000000003E-2</v>
      </c>
      <c r="BJ300">
        <v>1164.3100586</v>
      </c>
      <c r="BK300">
        <v>7</v>
      </c>
      <c r="BL300">
        <v>0</v>
      </c>
      <c r="BM300">
        <v>8400.5400391000003</v>
      </c>
      <c r="BN300">
        <v>2202.1699219000002</v>
      </c>
      <c r="BO300">
        <v>141.2030029</v>
      </c>
      <c r="BP300">
        <v>999</v>
      </c>
      <c r="BQ300">
        <v>6</v>
      </c>
      <c r="BR300">
        <v>3</v>
      </c>
    </row>
    <row r="301" spans="1:70" x14ac:dyDescent="0.25">
      <c r="A301">
        <v>298</v>
      </c>
      <c r="B301">
        <v>9976</v>
      </c>
      <c r="C301">
        <v>88.512472000000002</v>
      </c>
      <c r="D301">
        <v>27.160443999999899</v>
      </c>
      <c r="E301" t="s">
        <v>1028</v>
      </c>
      <c r="F301">
        <v>2.5</v>
      </c>
      <c r="G301" t="s">
        <v>225</v>
      </c>
      <c r="H301" t="s">
        <v>1029</v>
      </c>
      <c r="I301" t="s">
        <v>72</v>
      </c>
      <c r="J301" t="s">
        <v>562</v>
      </c>
      <c r="K301">
        <v>10</v>
      </c>
      <c r="L301">
        <v>45</v>
      </c>
      <c r="M301">
        <v>7</v>
      </c>
      <c r="N301">
        <v>450</v>
      </c>
      <c r="O301" t="s">
        <v>89</v>
      </c>
      <c r="P301" t="s">
        <v>72</v>
      </c>
      <c r="Q301">
        <v>630</v>
      </c>
      <c r="R301" t="s">
        <v>72</v>
      </c>
      <c r="S301" t="s">
        <v>563</v>
      </c>
      <c r="T301" t="s">
        <v>564</v>
      </c>
      <c r="U301" t="s">
        <v>776</v>
      </c>
      <c r="V301" t="s">
        <v>72</v>
      </c>
      <c r="W301" t="s">
        <v>76</v>
      </c>
      <c r="X301" t="s">
        <v>77</v>
      </c>
      <c r="Y301">
        <v>0</v>
      </c>
      <c r="Z301" t="s">
        <v>72</v>
      </c>
      <c r="AA301" t="s">
        <v>72</v>
      </c>
      <c r="AB301" t="s">
        <v>72</v>
      </c>
      <c r="AC301" t="s">
        <v>72</v>
      </c>
      <c r="AD301" t="s">
        <v>969</v>
      </c>
      <c r="AE301">
        <v>0</v>
      </c>
      <c r="AF301" t="s">
        <v>148</v>
      </c>
      <c r="AG301" t="s">
        <v>385</v>
      </c>
      <c r="AH301" t="s">
        <v>95</v>
      </c>
      <c r="AI301" t="s">
        <v>121</v>
      </c>
      <c r="AJ301" t="s">
        <v>97</v>
      </c>
      <c r="AK301">
        <v>0</v>
      </c>
      <c r="AL301">
        <v>0</v>
      </c>
      <c r="AM301">
        <v>0</v>
      </c>
      <c r="AN301" t="s">
        <v>192</v>
      </c>
      <c r="AO301" t="s">
        <v>82</v>
      </c>
      <c r="AP301" t="s">
        <v>114</v>
      </c>
      <c r="AQ301" t="s">
        <v>72</v>
      </c>
      <c r="AR301" t="s">
        <v>72</v>
      </c>
      <c r="AS301" t="s">
        <v>72</v>
      </c>
      <c r="AT301" t="s">
        <v>72</v>
      </c>
      <c r="AU301" t="s">
        <v>72</v>
      </c>
      <c r="AV301" t="s">
        <v>1015</v>
      </c>
      <c r="AW301" t="s">
        <v>72</v>
      </c>
      <c r="AX301" t="s">
        <v>1020</v>
      </c>
      <c r="AY301">
        <v>23.046899799999998</v>
      </c>
      <c r="AZ301">
        <v>100</v>
      </c>
      <c r="BA301">
        <v>0</v>
      </c>
      <c r="BB301">
        <v>541.42700200000002</v>
      </c>
      <c r="BC301">
        <v>-0.12793199999999999</v>
      </c>
      <c r="BD301">
        <v>0.14988799999999999</v>
      </c>
      <c r="BE301">
        <v>12.5</v>
      </c>
      <c r="BF301">
        <v>4.7846498000000004</v>
      </c>
      <c r="BG301">
        <v>0.49206499999999997</v>
      </c>
      <c r="BH301">
        <v>0.22870699999999999</v>
      </c>
      <c r="BI301">
        <v>8.3626300000000001E-2</v>
      </c>
      <c r="BJ301">
        <v>1154.3399658000001</v>
      </c>
      <c r="BK301">
        <v>4</v>
      </c>
      <c r="BL301">
        <v>0</v>
      </c>
      <c r="BM301">
        <v>8876.3203125</v>
      </c>
      <c r="BN301">
        <v>2712.2700195000002</v>
      </c>
      <c r="BO301">
        <v>156.44799800000001</v>
      </c>
      <c r="BP301">
        <v>865</v>
      </c>
      <c r="BQ301">
        <v>6</v>
      </c>
      <c r="BR301">
        <v>3</v>
      </c>
    </row>
    <row r="302" spans="1:70" x14ac:dyDescent="0.25">
      <c r="A302">
        <v>299</v>
      </c>
      <c r="B302">
        <v>11717</v>
      </c>
      <c r="C302">
        <v>88.543000000000006</v>
      </c>
      <c r="D302">
        <v>27.158999999999899</v>
      </c>
      <c r="E302" t="s">
        <v>1030</v>
      </c>
      <c r="F302">
        <v>4</v>
      </c>
      <c r="G302" t="s">
        <v>276</v>
      </c>
      <c r="H302" t="s">
        <v>72</v>
      </c>
      <c r="I302" t="s">
        <v>72</v>
      </c>
      <c r="J302" t="s">
        <v>88</v>
      </c>
      <c r="K302">
        <v>300</v>
      </c>
      <c r="L302">
        <v>4</v>
      </c>
      <c r="M302">
        <v>0</v>
      </c>
      <c r="N302">
        <v>1200</v>
      </c>
      <c r="O302" t="s">
        <v>89</v>
      </c>
      <c r="P302" t="s">
        <v>72</v>
      </c>
      <c r="Q302">
        <v>4800</v>
      </c>
      <c r="R302" t="s">
        <v>72</v>
      </c>
      <c r="S302" t="s">
        <v>73</v>
      </c>
      <c r="T302" t="s">
        <v>74</v>
      </c>
      <c r="U302" t="s">
        <v>776</v>
      </c>
      <c r="V302" t="s">
        <v>1031</v>
      </c>
      <c r="W302" t="s">
        <v>208</v>
      </c>
      <c r="X302" t="s">
        <v>673</v>
      </c>
      <c r="Y302">
        <v>1976</v>
      </c>
      <c r="Z302" t="s">
        <v>72</v>
      </c>
      <c r="AA302" t="s">
        <v>72</v>
      </c>
      <c r="AB302" t="s">
        <v>72</v>
      </c>
      <c r="AC302" t="s">
        <v>72</v>
      </c>
      <c r="AD302" t="s">
        <v>1031</v>
      </c>
      <c r="AE302">
        <v>0</v>
      </c>
      <c r="AF302" t="s">
        <v>186</v>
      </c>
      <c r="AG302" t="s">
        <v>128</v>
      </c>
      <c r="AH302" t="s">
        <v>95</v>
      </c>
      <c r="AI302" t="s">
        <v>96</v>
      </c>
      <c r="AJ302" t="s">
        <v>113</v>
      </c>
      <c r="AK302">
        <v>1981</v>
      </c>
      <c r="AL302">
        <v>0</v>
      </c>
      <c r="AM302">
        <v>0</v>
      </c>
      <c r="AN302" t="s">
        <v>192</v>
      </c>
      <c r="AO302" t="s">
        <v>72</v>
      </c>
      <c r="AP302" t="s">
        <v>386</v>
      </c>
      <c r="AQ302" t="s">
        <v>72</v>
      </c>
      <c r="AR302" t="s">
        <v>72</v>
      </c>
      <c r="AS302" t="s">
        <v>72</v>
      </c>
      <c r="AT302" t="s">
        <v>72</v>
      </c>
      <c r="AU302" t="s">
        <v>72</v>
      </c>
      <c r="AV302" t="s">
        <v>72</v>
      </c>
      <c r="AW302" t="s">
        <v>72</v>
      </c>
      <c r="AX302" t="s">
        <v>72</v>
      </c>
      <c r="AY302">
        <v>20.6744995</v>
      </c>
      <c r="AZ302">
        <v>154</v>
      </c>
      <c r="BA302">
        <v>-0.64</v>
      </c>
      <c r="BB302">
        <v>445.63900760000001</v>
      </c>
      <c r="BC302">
        <v>-0.144367</v>
      </c>
      <c r="BD302">
        <v>0.18034800000000001</v>
      </c>
      <c r="BE302">
        <v>872.22802730000001</v>
      </c>
      <c r="BF302">
        <v>4.9059100000000004</v>
      </c>
      <c r="BG302">
        <v>0.54700599999999999</v>
      </c>
      <c r="BH302">
        <v>0.107756</v>
      </c>
      <c r="BI302">
        <v>0.91015900000000005</v>
      </c>
      <c r="BJ302">
        <v>402.53100590000003</v>
      </c>
      <c r="BK302">
        <v>4</v>
      </c>
      <c r="BL302">
        <v>0</v>
      </c>
      <c r="BM302">
        <v>8326.0195311999996</v>
      </c>
      <c r="BN302">
        <v>5484.3701172000001</v>
      </c>
      <c r="BO302">
        <v>212.00500489999999</v>
      </c>
      <c r="BP302">
        <v>645</v>
      </c>
      <c r="BQ302">
        <v>6</v>
      </c>
      <c r="BR302">
        <v>3</v>
      </c>
    </row>
    <row r="303" spans="1:70" x14ac:dyDescent="0.25">
      <c r="A303">
        <v>300</v>
      </c>
      <c r="B303">
        <v>13400</v>
      </c>
      <c r="C303">
        <v>88.543000000000006</v>
      </c>
      <c r="D303">
        <v>27.158999999999899</v>
      </c>
      <c r="E303" t="s">
        <v>1032</v>
      </c>
      <c r="F303">
        <v>3</v>
      </c>
      <c r="G303" t="s">
        <v>130</v>
      </c>
      <c r="H303" t="s">
        <v>72</v>
      </c>
      <c r="I303" t="s">
        <v>72</v>
      </c>
      <c r="J303" t="s">
        <v>88</v>
      </c>
      <c r="K303">
        <v>90</v>
      </c>
      <c r="L303">
        <v>25</v>
      </c>
      <c r="M303">
        <v>65</v>
      </c>
      <c r="N303">
        <v>2250</v>
      </c>
      <c r="O303" t="s">
        <v>89</v>
      </c>
      <c r="P303" t="s">
        <v>72</v>
      </c>
      <c r="Q303">
        <v>6750</v>
      </c>
      <c r="R303" t="s">
        <v>72</v>
      </c>
      <c r="S303" t="s">
        <v>73</v>
      </c>
      <c r="T303" t="s">
        <v>74</v>
      </c>
      <c r="U303" t="s">
        <v>776</v>
      </c>
      <c r="V303" t="s">
        <v>1033</v>
      </c>
      <c r="W303" t="s">
        <v>208</v>
      </c>
      <c r="X303" t="s">
        <v>77</v>
      </c>
      <c r="Y303">
        <v>2003</v>
      </c>
      <c r="Z303" t="s">
        <v>72</v>
      </c>
      <c r="AA303" t="s">
        <v>72</v>
      </c>
      <c r="AB303" t="s">
        <v>72</v>
      </c>
      <c r="AC303" t="s">
        <v>72</v>
      </c>
      <c r="AD303" t="s">
        <v>1034</v>
      </c>
      <c r="AE303">
        <v>0</v>
      </c>
      <c r="AF303" t="s">
        <v>79</v>
      </c>
      <c r="AG303" t="s">
        <v>133</v>
      </c>
      <c r="AH303" t="s">
        <v>95</v>
      </c>
      <c r="AI303" t="s">
        <v>96</v>
      </c>
      <c r="AJ303" t="s">
        <v>97</v>
      </c>
      <c r="AK303">
        <v>0</v>
      </c>
      <c r="AL303">
        <v>0</v>
      </c>
      <c r="AM303">
        <v>0</v>
      </c>
      <c r="AN303" t="s">
        <v>192</v>
      </c>
      <c r="AO303" t="s">
        <v>72</v>
      </c>
      <c r="AP303" t="s">
        <v>386</v>
      </c>
      <c r="AQ303" t="s">
        <v>72</v>
      </c>
      <c r="AR303" t="s">
        <v>72</v>
      </c>
      <c r="AS303" t="s">
        <v>72</v>
      </c>
      <c r="AT303" t="s">
        <v>72</v>
      </c>
      <c r="AU303" t="s">
        <v>72</v>
      </c>
      <c r="AV303" t="s">
        <v>72</v>
      </c>
      <c r="AW303" t="s">
        <v>72</v>
      </c>
      <c r="AX303" t="s">
        <v>72</v>
      </c>
      <c r="AY303">
        <v>20.6744995</v>
      </c>
      <c r="AZ303">
        <v>154</v>
      </c>
      <c r="BA303">
        <v>-0.64</v>
      </c>
      <c r="BB303">
        <v>445.63900760000001</v>
      </c>
      <c r="BC303">
        <v>-0.144367</v>
      </c>
      <c r="BD303">
        <v>0.18034800000000001</v>
      </c>
      <c r="BE303">
        <v>872.22802730000001</v>
      </c>
      <c r="BF303">
        <v>4.9059100000000004</v>
      </c>
      <c r="BG303">
        <v>0.54700599999999999</v>
      </c>
      <c r="BH303">
        <v>0.107756</v>
      </c>
      <c r="BI303">
        <v>0.91015900000000005</v>
      </c>
      <c r="BJ303">
        <v>402.53100590000003</v>
      </c>
      <c r="BK303">
        <v>4</v>
      </c>
      <c r="BL303">
        <v>0</v>
      </c>
      <c r="BM303">
        <v>8326.0195311999996</v>
      </c>
      <c r="BN303">
        <v>5484.3701172000001</v>
      </c>
      <c r="BO303">
        <v>212.00500489999999</v>
      </c>
      <c r="BP303">
        <v>645</v>
      </c>
      <c r="BQ303">
        <v>6</v>
      </c>
      <c r="BR303">
        <v>3</v>
      </c>
    </row>
    <row r="304" spans="1:70" x14ac:dyDescent="0.25">
      <c r="A304">
        <v>301</v>
      </c>
      <c r="B304">
        <v>9318</v>
      </c>
      <c r="C304">
        <v>88.512944000000005</v>
      </c>
      <c r="D304">
        <v>27.161306</v>
      </c>
      <c r="E304" t="s">
        <v>1035</v>
      </c>
      <c r="F304">
        <v>2.5</v>
      </c>
      <c r="G304" t="s">
        <v>225</v>
      </c>
      <c r="H304" t="s">
        <v>1036</v>
      </c>
      <c r="I304" t="s">
        <v>72</v>
      </c>
      <c r="J304" t="s">
        <v>562</v>
      </c>
      <c r="K304">
        <v>15</v>
      </c>
      <c r="L304">
        <v>45</v>
      </c>
      <c r="M304">
        <v>10</v>
      </c>
      <c r="N304">
        <v>675</v>
      </c>
      <c r="O304" t="s">
        <v>89</v>
      </c>
      <c r="P304" t="s">
        <v>72</v>
      </c>
      <c r="Q304">
        <v>900</v>
      </c>
      <c r="R304" t="s">
        <v>72</v>
      </c>
      <c r="S304" t="s">
        <v>563</v>
      </c>
      <c r="T304" t="s">
        <v>564</v>
      </c>
      <c r="U304" t="s">
        <v>776</v>
      </c>
      <c r="V304" t="s">
        <v>72</v>
      </c>
      <c r="W304" t="s">
        <v>76</v>
      </c>
      <c r="X304" t="s">
        <v>119</v>
      </c>
      <c r="Y304">
        <v>0</v>
      </c>
      <c r="Z304" t="s">
        <v>72</v>
      </c>
      <c r="AA304" t="s">
        <v>72</v>
      </c>
      <c r="AB304" t="s">
        <v>72</v>
      </c>
      <c r="AC304" t="s">
        <v>72</v>
      </c>
      <c r="AD304" t="s">
        <v>969</v>
      </c>
      <c r="AE304">
        <v>0</v>
      </c>
      <c r="AF304" t="s">
        <v>79</v>
      </c>
      <c r="AG304" t="s">
        <v>94</v>
      </c>
      <c r="AH304" t="s">
        <v>95</v>
      </c>
      <c r="AI304" t="s">
        <v>121</v>
      </c>
      <c r="AJ304" t="s">
        <v>97</v>
      </c>
      <c r="AK304">
        <v>0</v>
      </c>
      <c r="AL304">
        <v>0</v>
      </c>
      <c r="AM304">
        <v>0</v>
      </c>
      <c r="AN304" t="s">
        <v>98</v>
      </c>
      <c r="AO304" t="s">
        <v>82</v>
      </c>
      <c r="AP304" t="s">
        <v>114</v>
      </c>
      <c r="AQ304" t="s">
        <v>72</v>
      </c>
      <c r="AR304" t="s">
        <v>72</v>
      </c>
      <c r="AS304" t="s">
        <v>72</v>
      </c>
      <c r="AT304" t="s">
        <v>72</v>
      </c>
      <c r="AU304" t="s">
        <v>72</v>
      </c>
      <c r="AV304" t="s">
        <v>72</v>
      </c>
      <c r="AW304" t="s">
        <v>72</v>
      </c>
      <c r="AX304" t="s">
        <v>568</v>
      </c>
      <c r="AY304">
        <v>29.686899199999999</v>
      </c>
      <c r="AZ304">
        <v>112</v>
      </c>
      <c r="BA304">
        <v>0</v>
      </c>
      <c r="BB304">
        <v>541.42700200000002</v>
      </c>
      <c r="BC304">
        <v>-0.129328</v>
      </c>
      <c r="BD304">
        <v>0.155419</v>
      </c>
      <c r="BE304">
        <v>0</v>
      </c>
      <c r="BF304">
        <v>5.0335998999999996</v>
      </c>
      <c r="BG304">
        <v>0.53594600000000003</v>
      </c>
      <c r="BH304">
        <v>1.2317100000000001</v>
      </c>
      <c r="BI304">
        <v>0.126779</v>
      </c>
      <c r="BJ304">
        <v>1264.9100341999999</v>
      </c>
      <c r="BK304">
        <v>4</v>
      </c>
      <c r="BL304">
        <v>0</v>
      </c>
      <c r="BM304">
        <v>8843.9404297000001</v>
      </c>
      <c r="BN304">
        <v>2808.2700195000002</v>
      </c>
      <c r="BO304">
        <v>74.744903600000001</v>
      </c>
      <c r="BP304">
        <v>862</v>
      </c>
      <c r="BQ304">
        <v>6</v>
      </c>
      <c r="BR304">
        <v>3</v>
      </c>
    </row>
    <row r="305" spans="1:70" x14ac:dyDescent="0.25">
      <c r="A305">
        <v>302</v>
      </c>
      <c r="B305">
        <v>9320</v>
      </c>
      <c r="C305">
        <v>88.509639000000007</v>
      </c>
      <c r="D305">
        <v>27.1619169999999</v>
      </c>
      <c r="E305" t="s">
        <v>1037</v>
      </c>
      <c r="F305">
        <v>2.5</v>
      </c>
      <c r="G305" t="s">
        <v>225</v>
      </c>
      <c r="H305" t="s">
        <v>1038</v>
      </c>
      <c r="I305" t="s">
        <v>72</v>
      </c>
      <c r="J305" t="s">
        <v>562</v>
      </c>
      <c r="K305">
        <v>15</v>
      </c>
      <c r="L305">
        <v>25</v>
      </c>
      <c r="M305">
        <v>10</v>
      </c>
      <c r="N305">
        <v>375</v>
      </c>
      <c r="O305" t="s">
        <v>89</v>
      </c>
      <c r="P305" t="s">
        <v>72</v>
      </c>
      <c r="Q305">
        <v>500</v>
      </c>
      <c r="R305" t="s">
        <v>72</v>
      </c>
      <c r="S305" t="s">
        <v>563</v>
      </c>
      <c r="T305" t="s">
        <v>564</v>
      </c>
      <c r="U305" t="s">
        <v>776</v>
      </c>
      <c r="V305" t="s">
        <v>72</v>
      </c>
      <c r="W305" t="s">
        <v>76</v>
      </c>
      <c r="X305" t="s">
        <v>119</v>
      </c>
      <c r="Y305">
        <v>0</v>
      </c>
      <c r="Z305" t="s">
        <v>72</v>
      </c>
      <c r="AA305" t="s">
        <v>72</v>
      </c>
      <c r="AB305" t="s">
        <v>72</v>
      </c>
      <c r="AC305" t="s">
        <v>72</v>
      </c>
      <c r="AD305" t="s">
        <v>969</v>
      </c>
      <c r="AE305">
        <v>0</v>
      </c>
      <c r="AF305" t="s">
        <v>79</v>
      </c>
      <c r="AG305" t="s">
        <v>94</v>
      </c>
      <c r="AH305" t="s">
        <v>95</v>
      </c>
      <c r="AI305" t="s">
        <v>121</v>
      </c>
      <c r="AJ305" t="s">
        <v>97</v>
      </c>
      <c r="AK305">
        <v>0</v>
      </c>
      <c r="AL305">
        <v>0</v>
      </c>
      <c r="AM305">
        <v>0</v>
      </c>
      <c r="AN305" t="s">
        <v>192</v>
      </c>
      <c r="AO305" t="s">
        <v>82</v>
      </c>
      <c r="AP305" t="s">
        <v>114</v>
      </c>
      <c r="AQ305" t="s">
        <v>72</v>
      </c>
      <c r="AR305" t="s">
        <v>72</v>
      </c>
      <c r="AS305" t="s">
        <v>72</v>
      </c>
      <c r="AT305" t="s">
        <v>72</v>
      </c>
      <c r="AU305" t="s">
        <v>72</v>
      </c>
      <c r="AV305" t="s">
        <v>567</v>
      </c>
      <c r="AW305" t="s">
        <v>72</v>
      </c>
      <c r="AX305" t="s">
        <v>568</v>
      </c>
      <c r="AY305">
        <v>21.764299399999999</v>
      </c>
      <c r="AZ305">
        <v>105</v>
      </c>
      <c r="BA305">
        <v>1.92</v>
      </c>
      <c r="BB305">
        <v>544.86297609999997</v>
      </c>
      <c r="BC305">
        <v>-0.108783</v>
      </c>
      <c r="BD305">
        <v>0.141039</v>
      </c>
      <c r="BE305">
        <v>17.677700000000002</v>
      </c>
      <c r="BF305">
        <v>3.4439001</v>
      </c>
      <c r="BG305">
        <v>0.487178</v>
      </c>
      <c r="BH305">
        <v>-7.8234199999999996</v>
      </c>
      <c r="BI305">
        <v>4.1177100000000001E-2</v>
      </c>
      <c r="BJ305">
        <v>1264.0500488</v>
      </c>
      <c r="BK305">
        <v>4</v>
      </c>
      <c r="BL305">
        <v>0</v>
      </c>
      <c r="BM305">
        <v>8556.6503905999998</v>
      </c>
      <c r="BN305">
        <v>2571.0200195000002</v>
      </c>
      <c r="BO305">
        <v>157.93200680000001</v>
      </c>
      <c r="BP305">
        <v>983</v>
      </c>
      <c r="BQ305">
        <v>6</v>
      </c>
      <c r="BR305">
        <v>3</v>
      </c>
    </row>
    <row r="306" spans="1:70" x14ac:dyDescent="0.25">
      <c r="A306">
        <v>303</v>
      </c>
      <c r="B306">
        <v>9319</v>
      </c>
      <c r="C306">
        <v>88.510610999999898</v>
      </c>
      <c r="D306">
        <v>27.162194</v>
      </c>
      <c r="E306" t="s">
        <v>1039</v>
      </c>
      <c r="F306">
        <v>2.5</v>
      </c>
      <c r="G306" t="s">
        <v>225</v>
      </c>
      <c r="H306" t="s">
        <v>1040</v>
      </c>
      <c r="I306" t="s">
        <v>72</v>
      </c>
      <c r="J306" t="s">
        <v>562</v>
      </c>
      <c r="K306">
        <v>20</v>
      </c>
      <c r="L306">
        <v>25</v>
      </c>
      <c r="M306">
        <v>15</v>
      </c>
      <c r="N306">
        <v>500</v>
      </c>
      <c r="O306" t="s">
        <v>89</v>
      </c>
      <c r="P306" t="s">
        <v>72</v>
      </c>
      <c r="Q306">
        <v>750</v>
      </c>
      <c r="R306" t="s">
        <v>72</v>
      </c>
      <c r="S306" t="s">
        <v>563</v>
      </c>
      <c r="T306" t="s">
        <v>564</v>
      </c>
      <c r="U306" t="s">
        <v>776</v>
      </c>
      <c r="V306" t="s">
        <v>72</v>
      </c>
      <c r="W306" t="s">
        <v>76</v>
      </c>
      <c r="X306" t="s">
        <v>77</v>
      </c>
      <c r="Y306">
        <v>0</v>
      </c>
      <c r="Z306" t="s">
        <v>72</v>
      </c>
      <c r="AA306" t="s">
        <v>72</v>
      </c>
      <c r="AB306" t="s">
        <v>72</v>
      </c>
      <c r="AC306" t="s">
        <v>72</v>
      </c>
      <c r="AD306" t="s">
        <v>969</v>
      </c>
      <c r="AE306">
        <v>0</v>
      </c>
      <c r="AF306" t="s">
        <v>79</v>
      </c>
      <c r="AG306" t="s">
        <v>94</v>
      </c>
      <c r="AH306" t="s">
        <v>95</v>
      </c>
      <c r="AI306" t="s">
        <v>437</v>
      </c>
      <c r="AJ306" t="s">
        <v>97</v>
      </c>
      <c r="AK306">
        <v>0</v>
      </c>
      <c r="AL306">
        <v>0</v>
      </c>
      <c r="AM306">
        <v>0</v>
      </c>
      <c r="AN306" t="s">
        <v>192</v>
      </c>
      <c r="AO306" t="s">
        <v>82</v>
      </c>
      <c r="AP306" t="s">
        <v>114</v>
      </c>
      <c r="AQ306" t="s">
        <v>72</v>
      </c>
      <c r="AR306" t="s">
        <v>72</v>
      </c>
      <c r="AS306" t="s">
        <v>72</v>
      </c>
      <c r="AT306" t="s">
        <v>72</v>
      </c>
      <c r="AU306" t="s">
        <v>72</v>
      </c>
      <c r="AV306" t="s">
        <v>567</v>
      </c>
      <c r="AW306" t="s">
        <v>72</v>
      </c>
      <c r="AX306" t="s">
        <v>568</v>
      </c>
      <c r="AY306">
        <v>29.013500199999999</v>
      </c>
      <c r="AZ306">
        <v>75</v>
      </c>
      <c r="BA306">
        <v>0.64</v>
      </c>
      <c r="BB306">
        <v>544.86297609999997</v>
      </c>
      <c r="BC306">
        <v>-0.114755</v>
      </c>
      <c r="BD306">
        <v>0.13206799999999999</v>
      </c>
      <c r="BE306">
        <v>12.5</v>
      </c>
      <c r="BF306">
        <v>3.1152101000000001</v>
      </c>
      <c r="BG306">
        <v>0.44444600000000001</v>
      </c>
      <c r="BH306">
        <v>-7.4954299999999998</v>
      </c>
      <c r="BI306">
        <v>3.5587899999999999E-2</v>
      </c>
      <c r="BJ306">
        <v>1310.1199951000001</v>
      </c>
      <c r="BK306">
        <v>4</v>
      </c>
      <c r="BL306">
        <v>0</v>
      </c>
      <c r="BM306">
        <v>8602.5898438000004</v>
      </c>
      <c r="BN306">
        <v>2672.8400879000001</v>
      </c>
      <c r="BO306">
        <v>115.64099880000001</v>
      </c>
      <c r="BP306">
        <v>960</v>
      </c>
      <c r="BQ306">
        <v>6</v>
      </c>
      <c r="BR306">
        <v>3</v>
      </c>
    </row>
    <row r="307" spans="1:70" x14ac:dyDescent="0.25">
      <c r="A307">
        <v>304</v>
      </c>
      <c r="B307">
        <v>9971</v>
      </c>
      <c r="C307">
        <v>88.519999999999897</v>
      </c>
      <c r="D307">
        <v>27.163861000000001</v>
      </c>
      <c r="E307" t="s">
        <v>1041</v>
      </c>
      <c r="F307">
        <v>2.5</v>
      </c>
      <c r="G307" t="s">
        <v>225</v>
      </c>
      <c r="H307" t="s">
        <v>1042</v>
      </c>
      <c r="I307" t="s">
        <v>72</v>
      </c>
      <c r="J307" t="s">
        <v>562</v>
      </c>
      <c r="K307">
        <v>10</v>
      </c>
      <c r="L307">
        <v>50</v>
      </c>
      <c r="M307">
        <v>7</v>
      </c>
      <c r="N307">
        <v>500</v>
      </c>
      <c r="O307" t="s">
        <v>89</v>
      </c>
      <c r="P307" t="s">
        <v>72</v>
      </c>
      <c r="Q307">
        <v>700</v>
      </c>
      <c r="R307" t="s">
        <v>72</v>
      </c>
      <c r="S307" t="s">
        <v>563</v>
      </c>
      <c r="T307" t="s">
        <v>662</v>
      </c>
      <c r="U307" t="s">
        <v>776</v>
      </c>
      <c r="V307" t="s">
        <v>72</v>
      </c>
      <c r="W307" t="s">
        <v>76</v>
      </c>
      <c r="X307" t="s">
        <v>119</v>
      </c>
      <c r="Y307">
        <v>0</v>
      </c>
      <c r="Z307" t="s">
        <v>72</v>
      </c>
      <c r="AA307" t="s">
        <v>72</v>
      </c>
      <c r="AB307" t="s">
        <v>72</v>
      </c>
      <c r="AC307" t="s">
        <v>72</v>
      </c>
      <c r="AD307" t="s">
        <v>969</v>
      </c>
      <c r="AE307">
        <v>0</v>
      </c>
      <c r="AF307" t="s">
        <v>79</v>
      </c>
      <c r="AG307" t="s">
        <v>94</v>
      </c>
      <c r="AH307" t="s">
        <v>95</v>
      </c>
      <c r="AI307" t="s">
        <v>80</v>
      </c>
      <c r="AJ307" t="s">
        <v>97</v>
      </c>
      <c r="AK307">
        <v>0</v>
      </c>
      <c r="AL307">
        <v>0</v>
      </c>
      <c r="AM307">
        <v>0</v>
      </c>
      <c r="AN307" t="s">
        <v>98</v>
      </c>
      <c r="AO307" t="s">
        <v>82</v>
      </c>
      <c r="AP307" t="s">
        <v>386</v>
      </c>
      <c r="AQ307" t="s">
        <v>72</v>
      </c>
      <c r="AR307" t="s">
        <v>72</v>
      </c>
      <c r="AS307" t="s">
        <v>72</v>
      </c>
      <c r="AT307" t="s">
        <v>72</v>
      </c>
      <c r="AU307" t="s">
        <v>72</v>
      </c>
      <c r="AV307" t="s">
        <v>567</v>
      </c>
      <c r="AW307" t="s">
        <v>72</v>
      </c>
      <c r="AX307" t="s">
        <v>1020</v>
      </c>
      <c r="AY307">
        <v>30.737499199999998</v>
      </c>
      <c r="AZ307">
        <v>62</v>
      </c>
      <c r="BA307">
        <v>-0.64</v>
      </c>
      <c r="BB307">
        <v>505.39700319999997</v>
      </c>
      <c r="BC307">
        <v>-0.14190700000000001</v>
      </c>
      <c r="BD307">
        <v>0.165996</v>
      </c>
      <c r="BE307">
        <v>27.9507999</v>
      </c>
      <c r="BF307">
        <v>6.0617498999999997</v>
      </c>
      <c r="BG307">
        <v>0.48148000000000002</v>
      </c>
      <c r="BH307">
        <v>2.4059200000000001</v>
      </c>
      <c r="BI307">
        <v>0.78057100000000001</v>
      </c>
      <c r="BJ307">
        <v>786.70599370000002</v>
      </c>
      <c r="BK307">
        <v>4</v>
      </c>
      <c r="BL307">
        <v>0</v>
      </c>
      <c r="BM307">
        <v>9175.2402344000002</v>
      </c>
      <c r="BN307">
        <v>3543.5900879000001</v>
      </c>
      <c r="BO307">
        <v>137.72599790000001</v>
      </c>
      <c r="BP307">
        <v>524</v>
      </c>
      <c r="BQ307">
        <v>6</v>
      </c>
      <c r="BR307">
        <v>3</v>
      </c>
    </row>
    <row r="308" spans="1:70" x14ac:dyDescent="0.25">
      <c r="A308">
        <v>305</v>
      </c>
      <c r="B308">
        <v>10654</v>
      </c>
      <c r="C308">
        <v>88.545405000000002</v>
      </c>
      <c r="D308">
        <v>27.176309</v>
      </c>
      <c r="E308" t="s">
        <v>1043</v>
      </c>
      <c r="F308">
        <v>4</v>
      </c>
      <c r="G308" t="s">
        <v>162</v>
      </c>
      <c r="H308" t="s">
        <v>72</v>
      </c>
      <c r="I308" t="s">
        <v>72</v>
      </c>
      <c r="J308" t="s">
        <v>88</v>
      </c>
      <c r="K308">
        <v>125</v>
      </c>
      <c r="L308">
        <v>6</v>
      </c>
      <c r="M308">
        <v>0</v>
      </c>
      <c r="N308">
        <v>750</v>
      </c>
      <c r="O308" t="s">
        <v>89</v>
      </c>
      <c r="P308" t="s">
        <v>72</v>
      </c>
      <c r="Q308">
        <v>3000</v>
      </c>
      <c r="R308" t="s">
        <v>72</v>
      </c>
      <c r="S308" t="s">
        <v>73</v>
      </c>
      <c r="T308" t="s">
        <v>74</v>
      </c>
      <c r="U308" t="s">
        <v>776</v>
      </c>
      <c r="V308" t="s">
        <v>1044</v>
      </c>
      <c r="W308" t="s">
        <v>92</v>
      </c>
      <c r="X308" t="s">
        <v>119</v>
      </c>
      <c r="Y308">
        <v>2012</v>
      </c>
      <c r="Z308" t="s">
        <v>72</v>
      </c>
      <c r="AA308" t="s">
        <v>72</v>
      </c>
      <c r="AB308" t="s">
        <v>72</v>
      </c>
      <c r="AC308" t="s">
        <v>72</v>
      </c>
      <c r="AD308" t="s">
        <v>1044</v>
      </c>
      <c r="AE308">
        <v>0</v>
      </c>
      <c r="AF308" t="s">
        <v>79</v>
      </c>
      <c r="AG308" t="s">
        <v>128</v>
      </c>
      <c r="AH308" t="s">
        <v>95</v>
      </c>
      <c r="AI308" t="s">
        <v>80</v>
      </c>
      <c r="AJ308" t="s">
        <v>113</v>
      </c>
      <c r="AK308">
        <v>0</v>
      </c>
      <c r="AL308">
        <v>0</v>
      </c>
      <c r="AM308">
        <v>0</v>
      </c>
      <c r="AN308" t="s">
        <v>98</v>
      </c>
      <c r="AO308" t="s">
        <v>72</v>
      </c>
      <c r="AP308" t="s">
        <v>114</v>
      </c>
      <c r="AQ308" t="s">
        <v>72</v>
      </c>
      <c r="AR308" t="s">
        <v>72</v>
      </c>
      <c r="AS308" t="s">
        <v>72</v>
      </c>
      <c r="AT308" t="s">
        <v>72</v>
      </c>
      <c r="AU308" t="s">
        <v>72</v>
      </c>
      <c r="AV308" t="s">
        <v>72</v>
      </c>
      <c r="AW308" t="s">
        <v>72</v>
      </c>
      <c r="AX308" t="s">
        <v>72</v>
      </c>
      <c r="AY308">
        <v>26.665599799999999</v>
      </c>
      <c r="AZ308">
        <v>174</v>
      </c>
      <c r="BA308">
        <v>1.92</v>
      </c>
      <c r="BB308">
        <v>423.4030151</v>
      </c>
      <c r="BC308">
        <v>-0.155199</v>
      </c>
      <c r="BD308">
        <v>0.19479299999999999</v>
      </c>
      <c r="BE308">
        <v>88.3883972</v>
      </c>
      <c r="BF308">
        <v>4.3131098999999997</v>
      </c>
      <c r="BG308">
        <v>0.50617299999999998</v>
      </c>
      <c r="BH308">
        <v>6.8699E-3</v>
      </c>
      <c r="BI308">
        <v>0.71546699999999996</v>
      </c>
      <c r="BJ308">
        <v>610.3280029</v>
      </c>
      <c r="BK308">
        <v>4</v>
      </c>
      <c r="BL308">
        <v>0</v>
      </c>
      <c r="BM308">
        <v>8859.9199219000002</v>
      </c>
      <c r="BN308">
        <v>4619.3198241999999</v>
      </c>
      <c r="BO308">
        <v>234.7279968</v>
      </c>
      <c r="BP308">
        <v>491</v>
      </c>
      <c r="BQ308">
        <v>6</v>
      </c>
      <c r="BR308">
        <v>3</v>
      </c>
    </row>
    <row r="309" spans="1:70" x14ac:dyDescent="0.25">
      <c r="A309">
        <v>306</v>
      </c>
      <c r="B309">
        <v>8707</v>
      </c>
      <c r="C309">
        <v>88.533096999999898</v>
      </c>
      <c r="D309">
        <v>27.178889000000002</v>
      </c>
      <c r="E309" t="s">
        <v>1045</v>
      </c>
      <c r="F309">
        <v>5</v>
      </c>
      <c r="G309" t="s">
        <v>225</v>
      </c>
      <c r="H309" t="s">
        <v>1046</v>
      </c>
      <c r="I309" t="s">
        <v>72</v>
      </c>
      <c r="J309" t="s">
        <v>562</v>
      </c>
      <c r="K309">
        <v>150</v>
      </c>
      <c r="L309">
        <v>94</v>
      </c>
      <c r="M309">
        <v>140</v>
      </c>
      <c r="N309">
        <v>14100</v>
      </c>
      <c r="O309" t="s">
        <v>89</v>
      </c>
      <c r="P309" t="s">
        <v>72</v>
      </c>
      <c r="Q309">
        <v>78960</v>
      </c>
      <c r="R309" t="s">
        <v>72</v>
      </c>
      <c r="S309" t="s">
        <v>563</v>
      </c>
      <c r="T309" t="s">
        <v>662</v>
      </c>
      <c r="U309" t="s">
        <v>776</v>
      </c>
      <c r="V309" t="s">
        <v>72</v>
      </c>
      <c r="W309" t="s">
        <v>76</v>
      </c>
      <c r="X309" t="s">
        <v>119</v>
      </c>
      <c r="Y309">
        <v>0</v>
      </c>
      <c r="Z309" t="s">
        <v>72</v>
      </c>
      <c r="AA309" t="s">
        <v>72</v>
      </c>
      <c r="AB309" t="s">
        <v>72</v>
      </c>
      <c r="AC309" t="s">
        <v>72</v>
      </c>
      <c r="AD309" t="s">
        <v>1047</v>
      </c>
      <c r="AE309">
        <v>0</v>
      </c>
      <c r="AF309" t="s">
        <v>148</v>
      </c>
      <c r="AG309" t="s">
        <v>94</v>
      </c>
      <c r="AH309" t="s">
        <v>95</v>
      </c>
      <c r="AI309" t="s">
        <v>80</v>
      </c>
      <c r="AJ309" t="s">
        <v>113</v>
      </c>
      <c r="AK309">
        <v>0</v>
      </c>
      <c r="AL309">
        <v>0</v>
      </c>
      <c r="AM309">
        <v>0</v>
      </c>
      <c r="AN309" t="s">
        <v>192</v>
      </c>
      <c r="AO309" t="s">
        <v>82</v>
      </c>
      <c r="AP309" t="s">
        <v>448</v>
      </c>
      <c r="AQ309" t="s">
        <v>72</v>
      </c>
      <c r="AR309" t="s">
        <v>72</v>
      </c>
      <c r="AS309" t="s">
        <v>72</v>
      </c>
      <c r="AT309" t="s">
        <v>72</v>
      </c>
      <c r="AU309" t="s">
        <v>72</v>
      </c>
      <c r="AV309" t="s">
        <v>72</v>
      </c>
      <c r="AW309" t="s">
        <v>72</v>
      </c>
      <c r="AX309" t="s">
        <v>1020</v>
      </c>
      <c r="AY309">
        <v>44.319499999999998</v>
      </c>
      <c r="AZ309">
        <v>4</v>
      </c>
      <c r="BA309">
        <v>3.8399999</v>
      </c>
      <c r="BB309">
        <v>410.24301150000002</v>
      </c>
      <c r="BC309">
        <v>-0.119715</v>
      </c>
      <c r="BD309">
        <v>0.121236</v>
      </c>
      <c r="BE309">
        <v>0</v>
      </c>
      <c r="BF309">
        <v>4.4457202000000002</v>
      </c>
      <c r="BG309">
        <v>0.51307199999999997</v>
      </c>
      <c r="BH309">
        <v>1.8188200000000001</v>
      </c>
      <c r="BI309">
        <v>0.87342900000000001</v>
      </c>
      <c r="BJ309">
        <v>184.5599976</v>
      </c>
      <c r="BK309">
        <v>7</v>
      </c>
      <c r="BL309">
        <v>0</v>
      </c>
      <c r="BM309">
        <v>9364.5800780999998</v>
      </c>
      <c r="BN309">
        <v>5565.6601561999996</v>
      </c>
      <c r="BO309">
        <v>124.9919968</v>
      </c>
      <c r="BP309">
        <v>334</v>
      </c>
      <c r="BQ309">
        <v>6</v>
      </c>
      <c r="BR309">
        <v>7</v>
      </c>
    </row>
    <row r="310" spans="1:70" x14ac:dyDescent="0.25">
      <c r="A310">
        <v>307</v>
      </c>
      <c r="B310">
        <v>9993</v>
      </c>
      <c r="C310">
        <v>88.519778000000002</v>
      </c>
      <c r="D310">
        <v>27.179639000000002</v>
      </c>
      <c r="E310" t="s">
        <v>1048</v>
      </c>
      <c r="F310">
        <v>2.5</v>
      </c>
      <c r="G310" t="s">
        <v>225</v>
      </c>
      <c r="H310" t="s">
        <v>581</v>
      </c>
      <c r="I310" t="s">
        <v>72</v>
      </c>
      <c r="J310" t="s">
        <v>562</v>
      </c>
      <c r="K310">
        <v>20</v>
      </c>
      <c r="L310">
        <v>25</v>
      </c>
      <c r="M310">
        <v>17</v>
      </c>
      <c r="N310">
        <v>500</v>
      </c>
      <c r="O310" t="s">
        <v>89</v>
      </c>
      <c r="P310" t="s">
        <v>72</v>
      </c>
      <c r="Q310">
        <v>850</v>
      </c>
      <c r="R310" t="s">
        <v>72</v>
      </c>
      <c r="S310" t="s">
        <v>563</v>
      </c>
      <c r="T310" t="s">
        <v>662</v>
      </c>
      <c r="U310" t="s">
        <v>776</v>
      </c>
      <c r="V310" t="s">
        <v>72</v>
      </c>
      <c r="W310" t="s">
        <v>76</v>
      </c>
      <c r="X310" t="s">
        <v>77</v>
      </c>
      <c r="Y310">
        <v>0</v>
      </c>
      <c r="Z310" t="s">
        <v>72</v>
      </c>
      <c r="AA310" t="s">
        <v>72</v>
      </c>
      <c r="AB310" t="s">
        <v>72</v>
      </c>
      <c r="AC310" t="s">
        <v>72</v>
      </c>
      <c r="AD310" t="s">
        <v>748</v>
      </c>
      <c r="AE310">
        <v>0</v>
      </c>
      <c r="AF310" t="s">
        <v>79</v>
      </c>
      <c r="AG310" t="s">
        <v>94</v>
      </c>
      <c r="AH310" t="s">
        <v>95</v>
      </c>
      <c r="AI310" t="s">
        <v>121</v>
      </c>
      <c r="AJ310" t="s">
        <v>97</v>
      </c>
      <c r="AK310">
        <v>0</v>
      </c>
      <c r="AL310">
        <v>0</v>
      </c>
      <c r="AM310">
        <v>0</v>
      </c>
      <c r="AN310" t="s">
        <v>192</v>
      </c>
      <c r="AO310" t="s">
        <v>82</v>
      </c>
      <c r="AP310" t="s">
        <v>114</v>
      </c>
      <c r="AQ310" t="s">
        <v>72</v>
      </c>
      <c r="AR310" t="s">
        <v>72</v>
      </c>
      <c r="AS310" t="s">
        <v>72</v>
      </c>
      <c r="AT310" t="s">
        <v>72</v>
      </c>
      <c r="AU310" t="s">
        <v>72</v>
      </c>
      <c r="AV310" t="s">
        <v>567</v>
      </c>
      <c r="AW310" t="s">
        <v>72</v>
      </c>
      <c r="AX310" t="s">
        <v>568</v>
      </c>
      <c r="AY310">
        <v>44.373500800000002</v>
      </c>
      <c r="AZ310">
        <v>138</v>
      </c>
      <c r="BA310">
        <v>0.64</v>
      </c>
      <c r="BB310">
        <v>459.34600829999999</v>
      </c>
      <c r="BC310">
        <v>-0.104076</v>
      </c>
      <c r="BD310">
        <v>0.139186</v>
      </c>
      <c r="BE310">
        <v>0</v>
      </c>
      <c r="BF310">
        <v>5.3808097999999998</v>
      </c>
      <c r="BG310">
        <v>0.46078400000000003</v>
      </c>
      <c r="BH310">
        <v>2.7518001000000001</v>
      </c>
      <c r="BI310">
        <v>1.07152</v>
      </c>
      <c r="BJ310">
        <v>150.52000430000001</v>
      </c>
      <c r="BK310">
        <v>7</v>
      </c>
      <c r="BL310">
        <v>0</v>
      </c>
      <c r="BM310">
        <v>8160.1298827999999</v>
      </c>
      <c r="BN310">
        <v>4531.1601561999996</v>
      </c>
      <c r="BO310">
        <v>229.14500430000001</v>
      </c>
      <c r="BP310">
        <v>290</v>
      </c>
      <c r="BQ310">
        <v>6</v>
      </c>
      <c r="BR310">
        <v>7</v>
      </c>
    </row>
    <row r="311" spans="1:70" x14ac:dyDescent="0.25">
      <c r="A311">
        <v>308</v>
      </c>
      <c r="B311">
        <v>295</v>
      </c>
      <c r="C311">
        <v>88.533111000000005</v>
      </c>
      <c r="D311">
        <v>27.1790559999999</v>
      </c>
      <c r="E311" t="s">
        <v>1049</v>
      </c>
      <c r="F311">
        <v>3</v>
      </c>
      <c r="G311" t="s">
        <v>661</v>
      </c>
      <c r="H311" t="s">
        <v>1050</v>
      </c>
      <c r="I311" t="s">
        <v>72</v>
      </c>
      <c r="J311" t="s">
        <v>72</v>
      </c>
      <c r="K311">
        <v>10</v>
      </c>
      <c r="L311">
        <v>20</v>
      </c>
      <c r="M311">
        <v>10</v>
      </c>
      <c r="N311">
        <v>0</v>
      </c>
      <c r="O311" t="s">
        <v>89</v>
      </c>
      <c r="P311" t="s">
        <v>72</v>
      </c>
      <c r="Q311">
        <v>0</v>
      </c>
      <c r="R311" t="s">
        <v>72</v>
      </c>
      <c r="S311" t="s">
        <v>563</v>
      </c>
      <c r="T311" t="s">
        <v>662</v>
      </c>
      <c r="U311" t="s">
        <v>776</v>
      </c>
      <c r="V311" t="s">
        <v>72</v>
      </c>
      <c r="W311" t="s">
        <v>76</v>
      </c>
      <c r="X311" t="s">
        <v>77</v>
      </c>
      <c r="Y311">
        <v>0</v>
      </c>
      <c r="Z311" t="s">
        <v>72</v>
      </c>
      <c r="AA311" t="s">
        <v>72</v>
      </c>
      <c r="AB311" t="s">
        <v>72</v>
      </c>
      <c r="AC311" t="s">
        <v>72</v>
      </c>
      <c r="AD311" t="s">
        <v>1051</v>
      </c>
      <c r="AE311">
        <v>0</v>
      </c>
      <c r="AF311" t="s">
        <v>148</v>
      </c>
      <c r="AG311" t="s">
        <v>94</v>
      </c>
      <c r="AH311" t="s">
        <v>443</v>
      </c>
      <c r="AI311" t="s">
        <v>96</v>
      </c>
      <c r="AJ311" t="s">
        <v>97</v>
      </c>
      <c r="AK311">
        <v>0</v>
      </c>
      <c r="AL311">
        <v>0</v>
      </c>
      <c r="AM311">
        <v>0</v>
      </c>
      <c r="AN311" t="s">
        <v>271</v>
      </c>
      <c r="AO311" t="s">
        <v>107</v>
      </c>
      <c r="AP311" t="s">
        <v>665</v>
      </c>
      <c r="AQ311" t="s">
        <v>72</v>
      </c>
      <c r="AR311" t="s">
        <v>72</v>
      </c>
      <c r="AS311" t="s">
        <v>72</v>
      </c>
      <c r="AT311" t="s">
        <v>273</v>
      </c>
      <c r="AU311" t="s">
        <v>72</v>
      </c>
      <c r="AV311" t="s">
        <v>666</v>
      </c>
      <c r="AW311" t="s">
        <v>72</v>
      </c>
      <c r="AX311" t="s">
        <v>1052</v>
      </c>
      <c r="AY311">
        <v>43.069099399999999</v>
      </c>
      <c r="AZ311">
        <v>14</v>
      </c>
      <c r="BA311">
        <v>0</v>
      </c>
      <c r="BB311">
        <v>410.24301150000002</v>
      </c>
      <c r="BC311">
        <v>-0.132799</v>
      </c>
      <c r="BD311">
        <v>0.13460900000000001</v>
      </c>
      <c r="BE311">
        <v>12.5</v>
      </c>
      <c r="BF311">
        <v>5.5302401000000003</v>
      </c>
      <c r="BG311">
        <v>0.51254500000000003</v>
      </c>
      <c r="BH311">
        <v>2.9367198999999999</v>
      </c>
      <c r="BI311">
        <v>0.86596899999999999</v>
      </c>
      <c r="BJ311">
        <v>190.80400090000001</v>
      </c>
      <c r="BK311">
        <v>7</v>
      </c>
      <c r="BL311">
        <v>0</v>
      </c>
      <c r="BM311">
        <v>9359.1601561999996</v>
      </c>
      <c r="BN311">
        <v>5572.8300780999998</v>
      </c>
      <c r="BO311">
        <v>117.387001</v>
      </c>
      <c r="BP311">
        <v>335</v>
      </c>
      <c r="BQ311">
        <v>6</v>
      </c>
      <c r="BR311">
        <v>7</v>
      </c>
    </row>
    <row r="312" spans="1:70" x14ac:dyDescent="0.25">
      <c r="A312">
        <v>309</v>
      </c>
      <c r="B312">
        <v>9995</v>
      </c>
      <c r="C312">
        <v>88.5102499999999</v>
      </c>
      <c r="D312">
        <v>27.180416999999899</v>
      </c>
      <c r="E312" t="s">
        <v>1053</v>
      </c>
      <c r="F312">
        <v>2.5</v>
      </c>
      <c r="G312" t="s">
        <v>671</v>
      </c>
      <c r="H312" t="s">
        <v>1054</v>
      </c>
      <c r="I312" t="s">
        <v>72</v>
      </c>
      <c r="J312" t="s">
        <v>562</v>
      </c>
      <c r="K312">
        <v>20</v>
      </c>
      <c r="L312">
        <v>50</v>
      </c>
      <c r="M312">
        <v>18</v>
      </c>
      <c r="N312">
        <v>1000</v>
      </c>
      <c r="O312" t="s">
        <v>89</v>
      </c>
      <c r="P312" t="s">
        <v>72</v>
      </c>
      <c r="Q312">
        <v>1800</v>
      </c>
      <c r="R312" t="s">
        <v>72</v>
      </c>
      <c r="S312" t="s">
        <v>563</v>
      </c>
      <c r="T312" t="s">
        <v>662</v>
      </c>
      <c r="U312" t="s">
        <v>776</v>
      </c>
      <c r="V312" t="s">
        <v>72</v>
      </c>
      <c r="W312" t="s">
        <v>76</v>
      </c>
      <c r="X312" t="s">
        <v>77</v>
      </c>
      <c r="Y312">
        <v>0</v>
      </c>
      <c r="Z312" t="s">
        <v>72</v>
      </c>
      <c r="AA312" t="s">
        <v>72</v>
      </c>
      <c r="AB312" t="s">
        <v>72</v>
      </c>
      <c r="AC312" t="s">
        <v>72</v>
      </c>
      <c r="AD312" t="s">
        <v>748</v>
      </c>
      <c r="AE312">
        <v>0</v>
      </c>
      <c r="AF312" t="s">
        <v>148</v>
      </c>
      <c r="AG312" t="s">
        <v>94</v>
      </c>
      <c r="AH312" t="s">
        <v>95</v>
      </c>
      <c r="AI312" t="s">
        <v>80</v>
      </c>
      <c r="AJ312" t="s">
        <v>97</v>
      </c>
      <c r="AK312">
        <v>0</v>
      </c>
      <c r="AL312">
        <v>0</v>
      </c>
      <c r="AM312">
        <v>0</v>
      </c>
      <c r="AN312" t="s">
        <v>192</v>
      </c>
      <c r="AO312" t="s">
        <v>82</v>
      </c>
      <c r="AP312" t="s">
        <v>99</v>
      </c>
      <c r="AQ312" t="s">
        <v>72</v>
      </c>
      <c r="AR312" t="s">
        <v>72</v>
      </c>
      <c r="AS312" t="s">
        <v>72</v>
      </c>
      <c r="AT312" t="s">
        <v>72</v>
      </c>
      <c r="AU312" t="s">
        <v>72</v>
      </c>
      <c r="AV312" t="s">
        <v>567</v>
      </c>
      <c r="AW312" t="s">
        <v>72</v>
      </c>
      <c r="AX312" t="s">
        <v>568</v>
      </c>
      <c r="AY312">
        <v>36.375900299999998</v>
      </c>
      <c r="AZ312">
        <v>38</v>
      </c>
      <c r="BA312">
        <v>-2.5599999000000002</v>
      </c>
      <c r="BB312">
        <v>294.86199950000002</v>
      </c>
      <c r="BC312">
        <v>-0.117966</v>
      </c>
      <c r="BD312">
        <v>0.15370200000000001</v>
      </c>
      <c r="BE312">
        <v>12.5</v>
      </c>
      <c r="BF312">
        <v>4.9108600999999998</v>
      </c>
      <c r="BG312">
        <v>0.461538</v>
      </c>
      <c r="BH312">
        <v>1.6417200999999999</v>
      </c>
      <c r="BI312">
        <v>0.97034100000000001</v>
      </c>
      <c r="BJ312">
        <v>203.48500060000001</v>
      </c>
      <c r="BK312">
        <v>7</v>
      </c>
      <c r="BL312">
        <v>0</v>
      </c>
      <c r="BM312">
        <v>7306.2998047000001</v>
      </c>
      <c r="BN312">
        <v>3914.7399902000002</v>
      </c>
      <c r="BO312">
        <v>131.69799800000001</v>
      </c>
      <c r="BP312">
        <v>347</v>
      </c>
      <c r="BQ312">
        <v>6</v>
      </c>
      <c r="BR312">
        <v>7</v>
      </c>
    </row>
    <row r="313" spans="1:70" x14ac:dyDescent="0.25">
      <c r="A313">
        <v>310</v>
      </c>
      <c r="B313">
        <v>9994</v>
      </c>
      <c r="C313">
        <v>88.518611000000007</v>
      </c>
      <c r="D313">
        <v>27.180527999999899</v>
      </c>
      <c r="E313" t="s">
        <v>1055</v>
      </c>
      <c r="F313">
        <v>2.5</v>
      </c>
      <c r="G313" t="s">
        <v>225</v>
      </c>
      <c r="H313" t="s">
        <v>581</v>
      </c>
      <c r="I313" t="s">
        <v>72</v>
      </c>
      <c r="J313" t="s">
        <v>562</v>
      </c>
      <c r="K313">
        <v>10</v>
      </c>
      <c r="L313">
        <v>10</v>
      </c>
      <c r="M313">
        <v>8</v>
      </c>
      <c r="N313">
        <v>100</v>
      </c>
      <c r="O313" t="s">
        <v>89</v>
      </c>
      <c r="P313" t="s">
        <v>72</v>
      </c>
      <c r="Q313">
        <v>160</v>
      </c>
      <c r="R313" t="s">
        <v>72</v>
      </c>
      <c r="S313" t="s">
        <v>563</v>
      </c>
      <c r="T313" t="s">
        <v>662</v>
      </c>
      <c r="U313" t="s">
        <v>776</v>
      </c>
      <c r="V313" t="s">
        <v>72</v>
      </c>
      <c r="W313" t="s">
        <v>76</v>
      </c>
      <c r="X313" t="s">
        <v>77</v>
      </c>
      <c r="Y313">
        <v>0</v>
      </c>
      <c r="Z313" t="s">
        <v>72</v>
      </c>
      <c r="AA313" t="s">
        <v>72</v>
      </c>
      <c r="AB313" t="s">
        <v>72</v>
      </c>
      <c r="AC313" t="s">
        <v>72</v>
      </c>
      <c r="AD313" t="s">
        <v>748</v>
      </c>
      <c r="AE313">
        <v>0</v>
      </c>
      <c r="AF313" t="s">
        <v>79</v>
      </c>
      <c r="AG313" t="s">
        <v>94</v>
      </c>
      <c r="AH313" t="s">
        <v>95</v>
      </c>
      <c r="AI313" t="s">
        <v>121</v>
      </c>
      <c r="AJ313" t="s">
        <v>97</v>
      </c>
      <c r="AK313">
        <v>0</v>
      </c>
      <c r="AL313">
        <v>0</v>
      </c>
      <c r="AM313">
        <v>0</v>
      </c>
      <c r="AN313" t="s">
        <v>233</v>
      </c>
      <c r="AO313" t="s">
        <v>82</v>
      </c>
      <c r="AP313" t="s">
        <v>114</v>
      </c>
      <c r="AQ313" t="s">
        <v>72</v>
      </c>
      <c r="AR313" t="s">
        <v>72</v>
      </c>
      <c r="AS313" t="s">
        <v>72</v>
      </c>
      <c r="AT313" t="s">
        <v>72</v>
      </c>
      <c r="AU313" t="s">
        <v>72</v>
      </c>
      <c r="AV313" t="s">
        <v>567</v>
      </c>
      <c r="AW313" t="s">
        <v>72</v>
      </c>
      <c r="AX313" t="s">
        <v>568</v>
      </c>
      <c r="AY313">
        <v>34.903900100000001</v>
      </c>
      <c r="AZ313">
        <v>116</v>
      </c>
      <c r="BA313">
        <v>-2.5599999000000002</v>
      </c>
      <c r="BB313">
        <v>452.35198969999999</v>
      </c>
      <c r="BC313">
        <v>-0.106054</v>
      </c>
      <c r="BD313">
        <v>0.14895800000000001</v>
      </c>
      <c r="BE313">
        <v>0</v>
      </c>
      <c r="BF313">
        <v>3.9463301</v>
      </c>
      <c r="BG313">
        <v>0.44927600000000001</v>
      </c>
      <c r="BH313">
        <v>0.37303799999999998</v>
      </c>
      <c r="BI313">
        <v>1.05402</v>
      </c>
      <c r="BJ313">
        <v>200</v>
      </c>
      <c r="BK313">
        <v>7</v>
      </c>
      <c r="BL313">
        <v>0</v>
      </c>
      <c r="BM313">
        <v>8013.1098633000001</v>
      </c>
      <c r="BN313">
        <v>4512.7900391000003</v>
      </c>
      <c r="BO313">
        <v>207.3000031</v>
      </c>
      <c r="BP313">
        <v>283</v>
      </c>
      <c r="BQ313">
        <v>6</v>
      </c>
      <c r="BR313">
        <v>7</v>
      </c>
    </row>
    <row r="314" spans="1:70" x14ac:dyDescent="0.25">
      <c r="A314">
        <v>311</v>
      </c>
      <c r="B314">
        <v>10164</v>
      </c>
      <c r="C314">
        <v>88.507999999999896</v>
      </c>
      <c r="D314">
        <v>27.1821109999999</v>
      </c>
      <c r="E314" t="s">
        <v>1056</v>
      </c>
      <c r="F314">
        <v>2.5</v>
      </c>
      <c r="G314" t="s">
        <v>225</v>
      </c>
      <c r="H314" t="s">
        <v>1057</v>
      </c>
      <c r="I314" t="s">
        <v>72</v>
      </c>
      <c r="J314" t="s">
        <v>562</v>
      </c>
      <c r="K314">
        <v>25</v>
      </c>
      <c r="L314">
        <v>20</v>
      </c>
      <c r="M314">
        <v>22</v>
      </c>
      <c r="N314">
        <v>500</v>
      </c>
      <c r="O314" t="s">
        <v>89</v>
      </c>
      <c r="P314" t="s">
        <v>72</v>
      </c>
      <c r="Q314">
        <v>880</v>
      </c>
      <c r="R314" t="s">
        <v>72</v>
      </c>
      <c r="S314" t="s">
        <v>563</v>
      </c>
      <c r="T314" t="s">
        <v>662</v>
      </c>
      <c r="U314" t="s">
        <v>776</v>
      </c>
      <c r="V314" t="s">
        <v>72</v>
      </c>
      <c r="W314" t="s">
        <v>76</v>
      </c>
      <c r="X314" t="s">
        <v>77</v>
      </c>
      <c r="Y314">
        <v>0</v>
      </c>
      <c r="Z314" t="s">
        <v>72</v>
      </c>
      <c r="AA314" t="s">
        <v>72</v>
      </c>
      <c r="AB314" t="s">
        <v>72</v>
      </c>
      <c r="AC314" t="s">
        <v>72</v>
      </c>
      <c r="AD314" t="s">
        <v>748</v>
      </c>
      <c r="AE314">
        <v>0</v>
      </c>
      <c r="AF314" t="s">
        <v>148</v>
      </c>
      <c r="AG314" t="s">
        <v>94</v>
      </c>
      <c r="AH314" t="s">
        <v>95</v>
      </c>
      <c r="AI314" t="s">
        <v>121</v>
      </c>
      <c r="AJ314" t="s">
        <v>97</v>
      </c>
      <c r="AK314">
        <v>0</v>
      </c>
      <c r="AL314">
        <v>0</v>
      </c>
      <c r="AM314">
        <v>0</v>
      </c>
      <c r="AN314" t="s">
        <v>192</v>
      </c>
      <c r="AO314" t="s">
        <v>82</v>
      </c>
      <c r="AP314" t="s">
        <v>99</v>
      </c>
      <c r="AQ314" t="s">
        <v>72</v>
      </c>
      <c r="AR314" t="s">
        <v>72</v>
      </c>
      <c r="AS314" t="s">
        <v>72</v>
      </c>
      <c r="AT314" t="s">
        <v>72</v>
      </c>
      <c r="AU314" t="s">
        <v>72</v>
      </c>
      <c r="AV314" t="s">
        <v>567</v>
      </c>
      <c r="AW314" t="s">
        <v>72</v>
      </c>
      <c r="AX314" t="s">
        <v>568</v>
      </c>
      <c r="AY314">
        <v>50.753501900000003</v>
      </c>
      <c r="AZ314">
        <v>204</v>
      </c>
      <c r="BA314">
        <v>0.64</v>
      </c>
      <c r="BB314">
        <v>361.53100590000003</v>
      </c>
      <c r="BC314">
        <v>-6.3709000000000002E-2</v>
      </c>
      <c r="BD314">
        <v>0.116803</v>
      </c>
      <c r="BE314">
        <v>0</v>
      </c>
      <c r="BF314">
        <v>3.7098200000000001</v>
      </c>
      <c r="BG314">
        <v>0.50505</v>
      </c>
      <c r="BH314">
        <v>1.30196</v>
      </c>
      <c r="BI314">
        <v>0.95178399999999996</v>
      </c>
      <c r="BJ314">
        <v>201.5559998</v>
      </c>
      <c r="BK314">
        <v>7</v>
      </c>
      <c r="BL314">
        <v>0</v>
      </c>
      <c r="BM314">
        <v>7015.8999022999997</v>
      </c>
      <c r="BN314">
        <v>3926.2700195000002</v>
      </c>
      <c r="BO314">
        <v>265.31399540000001</v>
      </c>
      <c r="BP314">
        <v>368</v>
      </c>
      <c r="BQ314">
        <v>6</v>
      </c>
      <c r="BR314">
        <v>7</v>
      </c>
    </row>
    <row r="315" spans="1:70" x14ac:dyDescent="0.25">
      <c r="A315">
        <v>312</v>
      </c>
      <c r="B315">
        <v>10165</v>
      </c>
      <c r="C315">
        <v>88.501193999999899</v>
      </c>
      <c r="D315">
        <v>27.188528000000002</v>
      </c>
      <c r="E315" t="s">
        <v>1058</v>
      </c>
      <c r="F315">
        <v>2.5</v>
      </c>
      <c r="G315" t="s">
        <v>225</v>
      </c>
      <c r="H315" t="s">
        <v>1059</v>
      </c>
      <c r="I315" t="s">
        <v>72</v>
      </c>
      <c r="J315" t="s">
        <v>562</v>
      </c>
      <c r="K315">
        <v>15</v>
      </c>
      <c r="L315">
        <v>30</v>
      </c>
      <c r="M315">
        <v>12</v>
      </c>
      <c r="N315">
        <v>450</v>
      </c>
      <c r="O315" t="s">
        <v>89</v>
      </c>
      <c r="P315" t="s">
        <v>72</v>
      </c>
      <c r="Q315">
        <v>720</v>
      </c>
      <c r="R315" t="s">
        <v>72</v>
      </c>
      <c r="S315" t="s">
        <v>563</v>
      </c>
      <c r="T315" t="s">
        <v>662</v>
      </c>
      <c r="U315" t="s">
        <v>776</v>
      </c>
      <c r="V315" t="s">
        <v>72</v>
      </c>
      <c r="W315" t="s">
        <v>76</v>
      </c>
      <c r="X315" t="s">
        <v>77</v>
      </c>
      <c r="Y315">
        <v>0</v>
      </c>
      <c r="Z315" t="s">
        <v>72</v>
      </c>
      <c r="AA315" t="s">
        <v>72</v>
      </c>
      <c r="AB315" t="s">
        <v>72</v>
      </c>
      <c r="AC315" t="s">
        <v>72</v>
      </c>
      <c r="AD315" t="s">
        <v>748</v>
      </c>
      <c r="AE315">
        <v>0</v>
      </c>
      <c r="AF315" t="s">
        <v>148</v>
      </c>
      <c r="AG315" t="s">
        <v>94</v>
      </c>
      <c r="AH315" t="s">
        <v>95</v>
      </c>
      <c r="AI315" t="s">
        <v>121</v>
      </c>
      <c r="AJ315" t="s">
        <v>97</v>
      </c>
      <c r="AK315">
        <v>0</v>
      </c>
      <c r="AL315">
        <v>0</v>
      </c>
      <c r="AM315">
        <v>0</v>
      </c>
      <c r="AN315" t="s">
        <v>233</v>
      </c>
      <c r="AO315" t="s">
        <v>82</v>
      </c>
      <c r="AP315" t="s">
        <v>272</v>
      </c>
      <c r="AQ315" t="s">
        <v>72</v>
      </c>
      <c r="AR315" t="s">
        <v>72</v>
      </c>
      <c r="AS315" t="s">
        <v>72</v>
      </c>
      <c r="AT315" t="s">
        <v>72</v>
      </c>
      <c r="AU315" t="s">
        <v>72</v>
      </c>
      <c r="AV315" t="s">
        <v>567</v>
      </c>
      <c r="AW315" t="s">
        <v>72</v>
      </c>
      <c r="AX315" t="s">
        <v>568</v>
      </c>
      <c r="AY315">
        <v>28.028799100000001</v>
      </c>
      <c r="AZ315">
        <v>78</v>
      </c>
      <c r="BA315">
        <v>-1.28</v>
      </c>
      <c r="BB315">
        <v>491.71398929999998</v>
      </c>
      <c r="BC315">
        <v>-0.106071</v>
      </c>
      <c r="BD315">
        <v>0.120602</v>
      </c>
      <c r="BE315">
        <v>0</v>
      </c>
      <c r="BF315">
        <v>4.9479398999999997</v>
      </c>
      <c r="BG315">
        <v>0.43209799999999998</v>
      </c>
      <c r="BH315">
        <v>0.98106599999999999</v>
      </c>
      <c r="BI315">
        <v>1.16083</v>
      </c>
      <c r="BJ315">
        <v>477.2969971</v>
      </c>
      <c r="BK315">
        <v>4</v>
      </c>
      <c r="BL315">
        <v>0</v>
      </c>
      <c r="BM315">
        <v>6076.2099608999997</v>
      </c>
      <c r="BN315">
        <v>4215.4501952999999</v>
      </c>
      <c r="BO315">
        <v>151.9909973</v>
      </c>
      <c r="BP315">
        <v>342</v>
      </c>
      <c r="BQ315">
        <v>6</v>
      </c>
      <c r="BR315">
        <v>2</v>
      </c>
    </row>
    <row r="316" spans="1:70" x14ac:dyDescent="0.25">
      <c r="A316">
        <v>313</v>
      </c>
      <c r="B316">
        <v>392</v>
      </c>
      <c r="C316">
        <v>88.486999999999895</v>
      </c>
      <c r="D316">
        <v>27.119</v>
      </c>
      <c r="E316" t="s">
        <v>1060</v>
      </c>
      <c r="F316">
        <v>7</v>
      </c>
      <c r="G316" t="s">
        <v>648</v>
      </c>
      <c r="H316" t="s">
        <v>72</v>
      </c>
      <c r="I316" t="s">
        <v>72</v>
      </c>
      <c r="J316" t="s">
        <v>72</v>
      </c>
      <c r="K316">
        <v>200</v>
      </c>
      <c r="L316">
        <v>200</v>
      </c>
      <c r="M316">
        <v>200</v>
      </c>
      <c r="N316">
        <v>0</v>
      </c>
      <c r="O316" t="s">
        <v>72</v>
      </c>
      <c r="P316" t="s">
        <v>1061</v>
      </c>
      <c r="Q316">
        <v>0</v>
      </c>
      <c r="R316" t="s">
        <v>72</v>
      </c>
      <c r="S316" t="s">
        <v>73</v>
      </c>
      <c r="T316" t="s">
        <v>74</v>
      </c>
      <c r="U316" t="s">
        <v>90</v>
      </c>
      <c r="V316" t="s">
        <v>72</v>
      </c>
      <c r="W316" t="s">
        <v>76</v>
      </c>
      <c r="X316" t="s">
        <v>77</v>
      </c>
      <c r="Y316">
        <v>0</v>
      </c>
      <c r="Z316" t="s">
        <v>72</v>
      </c>
      <c r="AA316" t="s">
        <v>72</v>
      </c>
      <c r="AB316" t="s">
        <v>72</v>
      </c>
      <c r="AC316" t="s">
        <v>72</v>
      </c>
      <c r="AD316" t="s">
        <v>1062</v>
      </c>
      <c r="AE316">
        <v>0</v>
      </c>
      <c r="AF316" t="s">
        <v>79</v>
      </c>
      <c r="AG316" t="s">
        <v>94</v>
      </c>
      <c r="AH316" t="s">
        <v>72</v>
      </c>
      <c r="AI316" t="s">
        <v>121</v>
      </c>
      <c r="AJ316" t="s">
        <v>113</v>
      </c>
      <c r="AK316">
        <v>0</v>
      </c>
      <c r="AL316">
        <v>0</v>
      </c>
      <c r="AM316">
        <v>0</v>
      </c>
      <c r="AN316" t="s">
        <v>72</v>
      </c>
      <c r="AO316" t="s">
        <v>72</v>
      </c>
      <c r="AP316" t="s">
        <v>72</v>
      </c>
      <c r="AQ316" t="s">
        <v>72</v>
      </c>
      <c r="AR316" t="s">
        <v>72</v>
      </c>
      <c r="AS316" t="s">
        <v>72</v>
      </c>
      <c r="AT316" t="s">
        <v>72</v>
      </c>
      <c r="AU316" t="s">
        <v>72</v>
      </c>
      <c r="AV316" t="s">
        <v>1063</v>
      </c>
      <c r="AW316" t="s">
        <v>72</v>
      </c>
      <c r="AX316" t="s">
        <v>1064</v>
      </c>
      <c r="AY316">
        <v>32.600200700000002</v>
      </c>
      <c r="AZ316">
        <v>244</v>
      </c>
      <c r="BA316">
        <v>0.64</v>
      </c>
      <c r="BB316">
        <v>451.16699219999998</v>
      </c>
      <c r="BC316">
        <v>-0.12364</v>
      </c>
      <c r="BD316">
        <v>0.178152</v>
      </c>
      <c r="BE316">
        <v>88.3883972</v>
      </c>
      <c r="BF316">
        <v>6.2729201000000003</v>
      </c>
      <c r="BG316">
        <v>0.53535299999999997</v>
      </c>
      <c r="BH316">
        <v>2.3903501</v>
      </c>
      <c r="BI316">
        <v>0.86075900000000005</v>
      </c>
      <c r="BJ316">
        <v>415.51901249999997</v>
      </c>
      <c r="BK316">
        <v>4</v>
      </c>
      <c r="BL316">
        <v>0</v>
      </c>
      <c r="BM316">
        <v>6755.6000977000003</v>
      </c>
      <c r="BN316">
        <v>2541.1899414</v>
      </c>
      <c r="BO316">
        <v>333.03399660000002</v>
      </c>
      <c r="BP316">
        <v>330</v>
      </c>
      <c r="BQ316">
        <v>6</v>
      </c>
      <c r="BR316">
        <v>3</v>
      </c>
    </row>
    <row r="317" spans="1:70" x14ac:dyDescent="0.25">
      <c r="A317">
        <v>314</v>
      </c>
      <c r="B317">
        <v>346</v>
      </c>
      <c r="C317">
        <v>88.491</v>
      </c>
      <c r="D317">
        <v>27.119</v>
      </c>
      <c r="E317" t="s">
        <v>1065</v>
      </c>
      <c r="F317">
        <v>1</v>
      </c>
      <c r="G317" t="s">
        <v>1066</v>
      </c>
      <c r="H317" t="s">
        <v>72</v>
      </c>
      <c r="I317" t="s">
        <v>72</v>
      </c>
      <c r="J317" t="s">
        <v>72</v>
      </c>
      <c r="K317">
        <v>25</v>
      </c>
      <c r="L317">
        <v>30</v>
      </c>
      <c r="M317">
        <v>25</v>
      </c>
      <c r="N317">
        <v>0</v>
      </c>
      <c r="O317" t="s">
        <v>72</v>
      </c>
      <c r="P317" t="s">
        <v>649</v>
      </c>
      <c r="Q317">
        <v>0</v>
      </c>
      <c r="R317" t="s">
        <v>72</v>
      </c>
      <c r="S317" t="s">
        <v>73</v>
      </c>
      <c r="T317" t="s">
        <v>74</v>
      </c>
      <c r="U317" t="s">
        <v>90</v>
      </c>
      <c r="V317" t="s">
        <v>72</v>
      </c>
      <c r="W317" t="s">
        <v>76</v>
      </c>
      <c r="X317" t="s">
        <v>77</v>
      </c>
      <c r="Y317">
        <v>0</v>
      </c>
      <c r="Z317" t="s">
        <v>72</v>
      </c>
      <c r="AA317" t="s">
        <v>72</v>
      </c>
      <c r="AB317" t="s">
        <v>72</v>
      </c>
      <c r="AC317" t="s">
        <v>72</v>
      </c>
      <c r="AD317" t="s">
        <v>1067</v>
      </c>
      <c r="AE317">
        <v>0</v>
      </c>
      <c r="AF317" t="s">
        <v>79</v>
      </c>
      <c r="AG317" t="s">
        <v>133</v>
      </c>
      <c r="AH317" t="s">
        <v>72</v>
      </c>
      <c r="AI317" t="s">
        <v>96</v>
      </c>
      <c r="AJ317" t="s">
        <v>97</v>
      </c>
      <c r="AK317">
        <v>0</v>
      </c>
      <c r="AL317">
        <v>0</v>
      </c>
      <c r="AM317">
        <v>0</v>
      </c>
      <c r="AN317" t="s">
        <v>72</v>
      </c>
      <c r="AO317" t="s">
        <v>72</v>
      </c>
      <c r="AP317" t="s">
        <v>72</v>
      </c>
      <c r="AQ317" t="s">
        <v>72</v>
      </c>
      <c r="AR317" t="s">
        <v>72</v>
      </c>
      <c r="AS317" t="s">
        <v>72</v>
      </c>
      <c r="AT317" t="s">
        <v>72</v>
      </c>
      <c r="AU317" t="s">
        <v>72</v>
      </c>
      <c r="AV317" t="s">
        <v>652</v>
      </c>
      <c r="AW317" t="s">
        <v>72</v>
      </c>
      <c r="AX317" t="s">
        <v>72</v>
      </c>
      <c r="AY317">
        <v>25.108499500000001</v>
      </c>
      <c r="AZ317">
        <v>170</v>
      </c>
      <c r="BA317">
        <v>-0.64</v>
      </c>
      <c r="BB317">
        <v>416.90600590000003</v>
      </c>
      <c r="BC317">
        <v>-0.15603800000000001</v>
      </c>
      <c r="BD317">
        <v>0.20654700000000001</v>
      </c>
      <c r="BE317">
        <v>397.05999759999997</v>
      </c>
      <c r="BF317">
        <v>5.3631400999999999</v>
      </c>
      <c r="BG317">
        <v>0.52083400000000002</v>
      </c>
      <c r="BH317">
        <v>1.19021</v>
      </c>
      <c r="BI317">
        <v>0.98135399999999995</v>
      </c>
      <c r="BJ317">
        <v>348.65798949999999</v>
      </c>
      <c r="BK317">
        <v>4</v>
      </c>
      <c r="BL317">
        <v>0</v>
      </c>
      <c r="BM317">
        <v>7076.5898438000004</v>
      </c>
      <c r="BN317">
        <v>2370.1599120999999</v>
      </c>
      <c r="BO317">
        <v>39.805599200000003</v>
      </c>
      <c r="BP317">
        <v>488</v>
      </c>
      <c r="BQ317">
        <v>6</v>
      </c>
      <c r="BR317">
        <v>3</v>
      </c>
    </row>
    <row r="318" spans="1:70" x14ac:dyDescent="0.25">
      <c r="A318">
        <v>315</v>
      </c>
      <c r="B318">
        <v>10840</v>
      </c>
      <c r="C318">
        <v>88.490127000000001</v>
      </c>
      <c r="D318">
        <v>27.1190549999999</v>
      </c>
      <c r="E318" t="s">
        <v>1068</v>
      </c>
      <c r="F318">
        <v>10</v>
      </c>
      <c r="G318" t="s">
        <v>102</v>
      </c>
      <c r="H318" t="s">
        <v>72</v>
      </c>
      <c r="I318" t="s">
        <v>72</v>
      </c>
      <c r="J318" t="s">
        <v>88</v>
      </c>
      <c r="K318">
        <v>400</v>
      </c>
      <c r="L318">
        <v>350</v>
      </c>
      <c r="M318">
        <v>250</v>
      </c>
      <c r="N318">
        <v>140000</v>
      </c>
      <c r="O318" t="s">
        <v>89</v>
      </c>
      <c r="P318" t="s">
        <v>72</v>
      </c>
      <c r="Q318">
        <v>1400000</v>
      </c>
      <c r="R318" t="s">
        <v>72</v>
      </c>
      <c r="S318" t="s">
        <v>73</v>
      </c>
      <c r="T318" t="s">
        <v>74</v>
      </c>
      <c r="U318" t="s">
        <v>90</v>
      </c>
      <c r="V318" t="s">
        <v>1069</v>
      </c>
      <c r="W318" t="s">
        <v>92</v>
      </c>
      <c r="X318" t="s">
        <v>119</v>
      </c>
      <c r="Y318">
        <v>2012</v>
      </c>
      <c r="Z318" t="s">
        <v>72</v>
      </c>
      <c r="AA318" t="s">
        <v>72</v>
      </c>
      <c r="AB318" t="s">
        <v>72</v>
      </c>
      <c r="AC318" t="s">
        <v>72</v>
      </c>
      <c r="AD318" t="s">
        <v>1070</v>
      </c>
      <c r="AE318">
        <v>0</v>
      </c>
      <c r="AF318" t="s">
        <v>148</v>
      </c>
      <c r="AG318" t="s">
        <v>94</v>
      </c>
      <c r="AH318" t="s">
        <v>95</v>
      </c>
      <c r="AI318" t="s">
        <v>96</v>
      </c>
      <c r="AJ318" t="s">
        <v>113</v>
      </c>
      <c r="AK318">
        <v>0</v>
      </c>
      <c r="AL318">
        <v>0</v>
      </c>
      <c r="AM318">
        <v>0</v>
      </c>
      <c r="AN318" t="s">
        <v>98</v>
      </c>
      <c r="AO318" t="s">
        <v>82</v>
      </c>
      <c r="AP318" t="s">
        <v>99</v>
      </c>
      <c r="AQ318" t="s">
        <v>72</v>
      </c>
      <c r="AR318" t="s">
        <v>72</v>
      </c>
      <c r="AS318" t="s">
        <v>72</v>
      </c>
      <c r="AT318" t="s">
        <v>72</v>
      </c>
      <c r="AU318" t="s">
        <v>72</v>
      </c>
      <c r="AV318" t="s">
        <v>72</v>
      </c>
      <c r="AW318" t="s">
        <v>72</v>
      </c>
      <c r="AX318" t="s">
        <v>103</v>
      </c>
      <c r="AY318">
        <v>13.518300099999999</v>
      </c>
      <c r="AZ318">
        <v>217</v>
      </c>
      <c r="BA318">
        <v>1.28</v>
      </c>
      <c r="BB318">
        <v>416.90600590000003</v>
      </c>
      <c r="BC318">
        <v>-9.9203200000000005E-2</v>
      </c>
      <c r="BD318">
        <v>0.150171</v>
      </c>
      <c r="BE318">
        <v>352.0029907</v>
      </c>
      <c r="BF318">
        <v>4.4817400000000003</v>
      </c>
      <c r="BG318">
        <v>0.49382900000000002</v>
      </c>
      <c r="BH318">
        <v>-1.25834</v>
      </c>
      <c r="BI318">
        <v>0.95766200000000001</v>
      </c>
      <c r="BJ318">
        <v>433.91400149999998</v>
      </c>
      <c r="BK318">
        <v>4</v>
      </c>
      <c r="BL318">
        <v>0</v>
      </c>
      <c r="BM318">
        <v>7005.6801758000001</v>
      </c>
      <c r="BN318">
        <v>2402.9299316000001</v>
      </c>
      <c r="BO318">
        <v>315</v>
      </c>
      <c r="BP318">
        <v>491</v>
      </c>
      <c r="BQ318">
        <v>6</v>
      </c>
      <c r="BR318">
        <v>3</v>
      </c>
    </row>
    <row r="319" spans="1:70" x14ac:dyDescent="0.25">
      <c r="A319">
        <v>316</v>
      </c>
      <c r="B319">
        <v>389</v>
      </c>
      <c r="C319">
        <v>88.486000000000004</v>
      </c>
      <c r="D319">
        <v>27.12</v>
      </c>
      <c r="E319" t="s">
        <v>1071</v>
      </c>
      <c r="F319">
        <v>10</v>
      </c>
      <c r="G319" t="s">
        <v>72</v>
      </c>
      <c r="H319" t="s">
        <v>72</v>
      </c>
      <c r="I319" t="s">
        <v>72</v>
      </c>
      <c r="J319" t="s">
        <v>72</v>
      </c>
      <c r="K319">
        <v>250</v>
      </c>
      <c r="L319">
        <v>350</v>
      </c>
      <c r="M319">
        <v>250</v>
      </c>
      <c r="N319">
        <v>0</v>
      </c>
      <c r="O319" t="s">
        <v>72</v>
      </c>
      <c r="P319" t="s">
        <v>484</v>
      </c>
      <c r="Q319">
        <v>0</v>
      </c>
      <c r="R319" t="s">
        <v>72</v>
      </c>
      <c r="S319" t="s">
        <v>73</v>
      </c>
      <c r="T319" t="s">
        <v>74</v>
      </c>
      <c r="U319" t="s">
        <v>90</v>
      </c>
      <c r="V319" t="s">
        <v>72</v>
      </c>
      <c r="W319" t="s">
        <v>72</v>
      </c>
      <c r="X319" t="s">
        <v>119</v>
      </c>
      <c r="Y319">
        <v>2012</v>
      </c>
      <c r="Z319" t="s">
        <v>72</v>
      </c>
      <c r="AA319" t="s">
        <v>72</v>
      </c>
      <c r="AB319" t="s">
        <v>72</v>
      </c>
      <c r="AC319" t="s">
        <v>72</v>
      </c>
      <c r="AD319" t="s">
        <v>1070</v>
      </c>
      <c r="AE319">
        <v>0</v>
      </c>
      <c r="AF319" t="s">
        <v>148</v>
      </c>
      <c r="AG319" t="s">
        <v>94</v>
      </c>
      <c r="AH319" t="s">
        <v>72</v>
      </c>
      <c r="AI319" t="s">
        <v>96</v>
      </c>
      <c r="AJ319" t="s">
        <v>72</v>
      </c>
      <c r="AK319">
        <v>0</v>
      </c>
      <c r="AL319">
        <v>0</v>
      </c>
      <c r="AM319">
        <v>0</v>
      </c>
      <c r="AN319" t="s">
        <v>72</v>
      </c>
      <c r="AO319" t="s">
        <v>82</v>
      </c>
      <c r="AP319" t="s">
        <v>72</v>
      </c>
      <c r="AQ319" t="s">
        <v>72</v>
      </c>
      <c r="AR319" t="s">
        <v>72</v>
      </c>
      <c r="AS319" t="s">
        <v>72</v>
      </c>
      <c r="AT319" t="s">
        <v>72</v>
      </c>
      <c r="AU319" t="s">
        <v>72</v>
      </c>
      <c r="AV319" t="s">
        <v>72</v>
      </c>
      <c r="AW319" t="s">
        <v>72</v>
      </c>
      <c r="AX319" t="s">
        <v>1072</v>
      </c>
      <c r="AY319">
        <v>26.990299199999999</v>
      </c>
      <c r="AZ319">
        <v>242</v>
      </c>
      <c r="BA319">
        <v>0</v>
      </c>
      <c r="BB319">
        <v>423.85998540000003</v>
      </c>
      <c r="BC319">
        <v>-0.10440000000000001</v>
      </c>
      <c r="BD319">
        <v>0.160687</v>
      </c>
      <c r="BE319">
        <v>53.033000899999998</v>
      </c>
      <c r="BF319">
        <v>7.7938498999999997</v>
      </c>
      <c r="BG319">
        <v>0.51851800000000003</v>
      </c>
      <c r="BH319">
        <v>4.1436400000000004</v>
      </c>
      <c r="BI319">
        <v>0.89594399999999996</v>
      </c>
      <c r="BJ319">
        <v>265.1650085</v>
      </c>
      <c r="BK319">
        <v>4</v>
      </c>
      <c r="BL319">
        <v>0</v>
      </c>
      <c r="BM319">
        <v>6738.9301758000001</v>
      </c>
      <c r="BN319">
        <v>2677.7099609000002</v>
      </c>
      <c r="BO319">
        <v>313.40899660000002</v>
      </c>
      <c r="BP319">
        <v>249</v>
      </c>
      <c r="BQ319">
        <v>6</v>
      </c>
      <c r="BR319">
        <v>3</v>
      </c>
    </row>
    <row r="320" spans="1:70" x14ac:dyDescent="0.25">
      <c r="A320">
        <v>317</v>
      </c>
      <c r="B320">
        <v>344</v>
      </c>
      <c r="C320">
        <v>88.489000000000004</v>
      </c>
      <c r="D320">
        <v>27.12</v>
      </c>
      <c r="E320" t="s">
        <v>1073</v>
      </c>
      <c r="F320">
        <v>4</v>
      </c>
      <c r="G320" t="s">
        <v>648</v>
      </c>
      <c r="H320" t="s">
        <v>72</v>
      </c>
      <c r="I320" t="s">
        <v>72</v>
      </c>
      <c r="J320" t="s">
        <v>72</v>
      </c>
      <c r="K320">
        <v>150</v>
      </c>
      <c r="L320">
        <v>25</v>
      </c>
      <c r="M320">
        <v>150</v>
      </c>
      <c r="N320">
        <v>0</v>
      </c>
      <c r="O320" t="s">
        <v>72</v>
      </c>
      <c r="P320" t="s">
        <v>649</v>
      </c>
      <c r="Q320">
        <v>0</v>
      </c>
      <c r="R320" t="s">
        <v>72</v>
      </c>
      <c r="S320" t="s">
        <v>73</v>
      </c>
      <c r="T320" t="s">
        <v>74</v>
      </c>
      <c r="U320" t="s">
        <v>90</v>
      </c>
      <c r="V320" t="s">
        <v>72</v>
      </c>
      <c r="W320" t="s">
        <v>76</v>
      </c>
      <c r="X320" t="s">
        <v>77</v>
      </c>
      <c r="Y320">
        <v>0</v>
      </c>
      <c r="Z320" t="s">
        <v>72</v>
      </c>
      <c r="AA320" t="s">
        <v>72</v>
      </c>
      <c r="AB320" t="s">
        <v>72</v>
      </c>
      <c r="AC320" t="s">
        <v>72</v>
      </c>
      <c r="AD320" t="s">
        <v>1074</v>
      </c>
      <c r="AE320">
        <v>0</v>
      </c>
      <c r="AF320" t="s">
        <v>79</v>
      </c>
      <c r="AG320" t="s">
        <v>133</v>
      </c>
      <c r="AH320" t="s">
        <v>72</v>
      </c>
      <c r="AI320" t="s">
        <v>96</v>
      </c>
      <c r="AJ320" t="s">
        <v>97</v>
      </c>
      <c r="AK320">
        <v>0</v>
      </c>
      <c r="AL320">
        <v>0</v>
      </c>
      <c r="AM320">
        <v>0</v>
      </c>
      <c r="AN320" t="s">
        <v>72</v>
      </c>
      <c r="AO320" t="s">
        <v>72</v>
      </c>
      <c r="AP320" t="s">
        <v>72</v>
      </c>
      <c r="AQ320" t="s">
        <v>72</v>
      </c>
      <c r="AR320" t="s">
        <v>72</v>
      </c>
      <c r="AS320" t="s">
        <v>72</v>
      </c>
      <c r="AT320" t="s">
        <v>72</v>
      </c>
      <c r="AU320" t="s">
        <v>72</v>
      </c>
      <c r="AV320" t="s">
        <v>652</v>
      </c>
      <c r="AW320" t="s">
        <v>72</v>
      </c>
      <c r="AX320" t="s">
        <v>72</v>
      </c>
      <c r="AY320">
        <v>32.116298700000002</v>
      </c>
      <c r="AZ320">
        <v>245</v>
      </c>
      <c r="BA320">
        <v>1.28</v>
      </c>
      <c r="BB320">
        <v>406.42800899999997</v>
      </c>
      <c r="BC320">
        <v>-0.12921099999999999</v>
      </c>
      <c r="BD320">
        <v>0.184502</v>
      </c>
      <c r="BE320">
        <v>218.3029938</v>
      </c>
      <c r="BF320">
        <v>5.2940202000000003</v>
      </c>
      <c r="BG320">
        <v>0.53968300000000002</v>
      </c>
      <c r="BH320">
        <v>1.73323</v>
      </c>
      <c r="BI320">
        <v>0.93027000000000004</v>
      </c>
      <c r="BJ320">
        <v>468.54199219999998</v>
      </c>
      <c r="BK320">
        <v>4</v>
      </c>
      <c r="BL320">
        <v>0</v>
      </c>
      <c r="BM320">
        <v>6982.7597655999998</v>
      </c>
      <c r="BN320">
        <v>2551.1000976999999</v>
      </c>
      <c r="BO320">
        <v>300.65100100000001</v>
      </c>
      <c r="BP320">
        <v>419</v>
      </c>
      <c r="BQ320">
        <v>6</v>
      </c>
      <c r="BR320">
        <v>3</v>
      </c>
    </row>
    <row r="321" spans="1:70" x14ac:dyDescent="0.25">
      <c r="A321">
        <v>318</v>
      </c>
      <c r="B321">
        <v>390</v>
      </c>
      <c r="C321">
        <v>88.486999999999895</v>
      </c>
      <c r="D321">
        <v>27.120999999999899</v>
      </c>
      <c r="E321" t="s">
        <v>1075</v>
      </c>
      <c r="F321">
        <v>105</v>
      </c>
      <c r="G321" t="s">
        <v>72</v>
      </c>
      <c r="H321" t="s">
        <v>72</v>
      </c>
      <c r="I321" t="s">
        <v>72</v>
      </c>
      <c r="J321" t="s">
        <v>72</v>
      </c>
      <c r="K321">
        <v>20</v>
      </c>
      <c r="L321">
        <v>50</v>
      </c>
      <c r="M321">
        <v>20</v>
      </c>
      <c r="N321">
        <v>0</v>
      </c>
      <c r="O321" t="s">
        <v>72</v>
      </c>
      <c r="P321" t="s">
        <v>1076</v>
      </c>
      <c r="Q321">
        <v>0</v>
      </c>
      <c r="R321" t="s">
        <v>72</v>
      </c>
      <c r="S321" t="s">
        <v>73</v>
      </c>
      <c r="T321" t="s">
        <v>74</v>
      </c>
      <c r="U321" t="s">
        <v>90</v>
      </c>
      <c r="V321" t="s">
        <v>72</v>
      </c>
      <c r="W321" t="s">
        <v>72</v>
      </c>
      <c r="X321" t="s">
        <v>77</v>
      </c>
      <c r="Y321">
        <v>2011</v>
      </c>
      <c r="Z321" t="s">
        <v>72</v>
      </c>
      <c r="AA321" t="s">
        <v>72</v>
      </c>
      <c r="AB321" t="s">
        <v>72</v>
      </c>
      <c r="AC321" t="s">
        <v>72</v>
      </c>
      <c r="AD321" t="s">
        <v>93</v>
      </c>
      <c r="AE321">
        <v>0</v>
      </c>
      <c r="AF321" t="s">
        <v>79</v>
      </c>
      <c r="AG321" t="s">
        <v>94</v>
      </c>
      <c r="AH321" t="s">
        <v>72</v>
      </c>
      <c r="AI321" t="s">
        <v>96</v>
      </c>
      <c r="AJ321" t="s">
        <v>72</v>
      </c>
      <c r="AK321">
        <v>0</v>
      </c>
      <c r="AL321">
        <v>0</v>
      </c>
      <c r="AM321">
        <v>0</v>
      </c>
      <c r="AN321" t="s">
        <v>72</v>
      </c>
      <c r="AO321" t="s">
        <v>107</v>
      </c>
      <c r="AP321" t="s">
        <v>72</v>
      </c>
      <c r="AQ321" t="s">
        <v>72</v>
      </c>
      <c r="AR321" t="s">
        <v>72</v>
      </c>
      <c r="AS321" t="s">
        <v>72</v>
      </c>
      <c r="AT321" t="s">
        <v>72</v>
      </c>
      <c r="AU321" t="s">
        <v>72</v>
      </c>
      <c r="AV321" t="s">
        <v>72</v>
      </c>
      <c r="AW321" t="s">
        <v>72</v>
      </c>
      <c r="AX321" t="s">
        <v>72</v>
      </c>
      <c r="AY321">
        <v>34.313400299999998</v>
      </c>
      <c r="AZ321">
        <v>233</v>
      </c>
      <c r="BA321">
        <v>0.64</v>
      </c>
      <c r="BB321">
        <v>423.85998540000003</v>
      </c>
      <c r="BC321">
        <v>-7.7925800000000003E-2</v>
      </c>
      <c r="BD321">
        <v>0.12950999999999999</v>
      </c>
      <c r="BE321">
        <v>12.5</v>
      </c>
      <c r="BF321">
        <v>4.2622099000000002</v>
      </c>
      <c r="BG321">
        <v>0.46198800000000001</v>
      </c>
      <c r="BH321">
        <v>0.75017699999999998</v>
      </c>
      <c r="BI321">
        <v>0.91200899999999996</v>
      </c>
      <c r="BJ321">
        <v>256.47900390000001</v>
      </c>
      <c r="BK321">
        <v>4</v>
      </c>
      <c r="BL321">
        <v>0</v>
      </c>
      <c r="BM321">
        <v>6887.4101561999996</v>
      </c>
      <c r="BN321">
        <v>2728.2099609000002</v>
      </c>
      <c r="BO321">
        <v>280.98098750000003</v>
      </c>
      <c r="BP321">
        <v>292</v>
      </c>
      <c r="BQ321">
        <v>6</v>
      </c>
      <c r="BR321">
        <v>3</v>
      </c>
    </row>
    <row r="322" spans="1:70" x14ac:dyDescent="0.25">
      <c r="A322">
        <v>319</v>
      </c>
      <c r="B322">
        <v>10839</v>
      </c>
      <c r="C322">
        <v>88.491339999999894</v>
      </c>
      <c r="D322">
        <v>27.122093</v>
      </c>
      <c r="E322" t="s">
        <v>1077</v>
      </c>
      <c r="F322">
        <v>2</v>
      </c>
      <c r="G322" t="s">
        <v>102</v>
      </c>
      <c r="H322" t="s">
        <v>72</v>
      </c>
      <c r="I322" t="s">
        <v>72</v>
      </c>
      <c r="J322" t="s">
        <v>88</v>
      </c>
      <c r="K322">
        <v>30</v>
      </c>
      <c r="L322">
        <v>50</v>
      </c>
      <c r="M322">
        <v>20</v>
      </c>
      <c r="N322">
        <v>1500</v>
      </c>
      <c r="O322" t="s">
        <v>89</v>
      </c>
      <c r="P322" t="s">
        <v>72</v>
      </c>
      <c r="Q322">
        <v>3000</v>
      </c>
      <c r="R322" t="s">
        <v>72</v>
      </c>
      <c r="S322" t="s">
        <v>73</v>
      </c>
      <c r="T322" t="s">
        <v>74</v>
      </c>
      <c r="U322" t="s">
        <v>90</v>
      </c>
      <c r="V322" t="s">
        <v>1078</v>
      </c>
      <c r="W322" t="s">
        <v>92</v>
      </c>
      <c r="X322" t="s">
        <v>77</v>
      </c>
      <c r="Y322">
        <v>2011</v>
      </c>
      <c r="Z322" t="s">
        <v>72</v>
      </c>
      <c r="AA322" t="s">
        <v>72</v>
      </c>
      <c r="AB322" t="s">
        <v>72</v>
      </c>
      <c r="AC322" t="s">
        <v>72</v>
      </c>
      <c r="AD322" t="s">
        <v>93</v>
      </c>
      <c r="AE322">
        <v>0</v>
      </c>
      <c r="AF322" t="s">
        <v>79</v>
      </c>
      <c r="AG322" t="s">
        <v>94</v>
      </c>
      <c r="AH322" t="s">
        <v>95</v>
      </c>
      <c r="AI322" t="s">
        <v>96</v>
      </c>
      <c r="AJ322" t="s">
        <v>97</v>
      </c>
      <c r="AK322">
        <v>0</v>
      </c>
      <c r="AL322">
        <v>0</v>
      </c>
      <c r="AM322">
        <v>0</v>
      </c>
      <c r="AN322" t="s">
        <v>98</v>
      </c>
      <c r="AO322" t="s">
        <v>82</v>
      </c>
      <c r="AP322" t="s">
        <v>99</v>
      </c>
      <c r="AQ322" t="s">
        <v>72</v>
      </c>
      <c r="AR322" t="s">
        <v>72</v>
      </c>
      <c r="AS322" t="s">
        <v>72</v>
      </c>
      <c r="AT322" t="s">
        <v>72</v>
      </c>
      <c r="AU322" t="s">
        <v>72</v>
      </c>
      <c r="AV322" t="s">
        <v>72</v>
      </c>
      <c r="AW322" t="s">
        <v>72</v>
      </c>
      <c r="AX322" t="s">
        <v>103</v>
      </c>
      <c r="AY322">
        <v>38.351100899999999</v>
      </c>
      <c r="AZ322">
        <v>187</v>
      </c>
      <c r="BA322">
        <v>0</v>
      </c>
      <c r="BB322">
        <v>375.68701170000003</v>
      </c>
      <c r="BC322">
        <v>-0.12829099999999999</v>
      </c>
      <c r="BD322">
        <v>0.17712900000000001</v>
      </c>
      <c r="BE322">
        <v>80.039100599999998</v>
      </c>
      <c r="BF322">
        <v>5.1675801000000003</v>
      </c>
      <c r="BG322">
        <v>0.44888899999999998</v>
      </c>
      <c r="BH322">
        <v>2.2422099000000002</v>
      </c>
      <c r="BI322">
        <v>1.1555299999999999</v>
      </c>
      <c r="BJ322">
        <v>253.1060028</v>
      </c>
      <c r="BK322">
        <v>4</v>
      </c>
      <c r="BL322">
        <v>0</v>
      </c>
      <c r="BM322">
        <v>7308.1499022999997</v>
      </c>
      <c r="BN322">
        <v>2676.3100586</v>
      </c>
      <c r="BO322">
        <v>20.725599299999999</v>
      </c>
      <c r="BP322">
        <v>314</v>
      </c>
      <c r="BQ322">
        <v>6</v>
      </c>
      <c r="BR322">
        <v>3</v>
      </c>
    </row>
    <row r="323" spans="1:70" x14ac:dyDescent="0.25">
      <c r="A323">
        <v>320</v>
      </c>
      <c r="B323">
        <v>10310</v>
      </c>
      <c r="C323">
        <v>88.491249999999894</v>
      </c>
      <c r="D323">
        <v>27.123434</v>
      </c>
      <c r="E323" t="s">
        <v>1079</v>
      </c>
      <c r="F323">
        <v>2</v>
      </c>
      <c r="G323" t="s">
        <v>130</v>
      </c>
      <c r="H323" t="s">
        <v>72</v>
      </c>
      <c r="I323" t="s">
        <v>72</v>
      </c>
      <c r="J323" t="s">
        <v>88</v>
      </c>
      <c r="K323">
        <v>40</v>
      </c>
      <c r="L323">
        <v>30</v>
      </c>
      <c r="M323">
        <v>25</v>
      </c>
      <c r="N323">
        <v>1200</v>
      </c>
      <c r="O323" t="s">
        <v>105</v>
      </c>
      <c r="P323" t="s">
        <v>72</v>
      </c>
      <c r="Q323">
        <v>2400</v>
      </c>
      <c r="R323" t="s">
        <v>72</v>
      </c>
      <c r="S323" t="s">
        <v>73</v>
      </c>
      <c r="T323" t="s">
        <v>74</v>
      </c>
      <c r="U323" t="s">
        <v>90</v>
      </c>
      <c r="V323" t="s">
        <v>1080</v>
      </c>
      <c r="W323" t="s">
        <v>76</v>
      </c>
      <c r="X323" t="s">
        <v>77</v>
      </c>
      <c r="Y323">
        <v>2007</v>
      </c>
      <c r="Z323" t="s">
        <v>72</v>
      </c>
      <c r="AA323" t="s">
        <v>72</v>
      </c>
      <c r="AB323" t="s">
        <v>72</v>
      </c>
      <c r="AC323" t="s">
        <v>72</v>
      </c>
      <c r="AD323" t="s">
        <v>1081</v>
      </c>
      <c r="AE323">
        <v>0</v>
      </c>
      <c r="AF323" t="s">
        <v>79</v>
      </c>
      <c r="AG323" t="s">
        <v>94</v>
      </c>
      <c r="AH323" t="s">
        <v>95</v>
      </c>
      <c r="AI323" t="s">
        <v>96</v>
      </c>
      <c r="AJ323" t="s">
        <v>97</v>
      </c>
      <c r="AK323">
        <v>0</v>
      </c>
      <c r="AL323">
        <v>0</v>
      </c>
      <c r="AM323">
        <v>0</v>
      </c>
      <c r="AN323" t="s">
        <v>98</v>
      </c>
      <c r="AO323" t="s">
        <v>107</v>
      </c>
      <c r="AP323" t="s">
        <v>99</v>
      </c>
      <c r="AQ323" t="s">
        <v>72</v>
      </c>
      <c r="AR323" t="s">
        <v>72</v>
      </c>
      <c r="AS323" t="s">
        <v>72</v>
      </c>
      <c r="AT323" t="s">
        <v>993</v>
      </c>
      <c r="AU323" t="s">
        <v>72</v>
      </c>
      <c r="AV323" t="s">
        <v>72</v>
      </c>
      <c r="AW323" t="s">
        <v>72</v>
      </c>
      <c r="AX323" t="s">
        <v>72</v>
      </c>
      <c r="AY323">
        <v>17.6305008</v>
      </c>
      <c r="AZ323">
        <v>152</v>
      </c>
      <c r="BA323">
        <v>0</v>
      </c>
      <c r="BB323">
        <v>401.5870056</v>
      </c>
      <c r="BC323">
        <v>-0.117578</v>
      </c>
      <c r="BD323">
        <v>0.15662799999999999</v>
      </c>
      <c r="BE323">
        <v>12.5</v>
      </c>
      <c r="BF323">
        <v>5.8131399000000004</v>
      </c>
      <c r="BG323">
        <v>0.46464699999999998</v>
      </c>
      <c r="BH323">
        <v>0.99235300000000004</v>
      </c>
      <c r="BI323">
        <v>1.1887099999999999</v>
      </c>
      <c r="BJ323">
        <v>154.6159973</v>
      </c>
      <c r="BK323">
        <v>4</v>
      </c>
      <c r="BL323">
        <v>0</v>
      </c>
      <c r="BM323">
        <v>7390.9301758000001</v>
      </c>
      <c r="BN323">
        <v>2699.1000976999999</v>
      </c>
      <c r="BO323">
        <v>65.854499799999999</v>
      </c>
      <c r="BP323">
        <v>260</v>
      </c>
      <c r="BQ323">
        <v>6</v>
      </c>
      <c r="BR323">
        <v>3</v>
      </c>
    </row>
    <row r="324" spans="1:70" x14ac:dyDescent="0.25">
      <c r="A324">
        <v>321</v>
      </c>
      <c r="B324">
        <v>10306</v>
      </c>
      <c r="C324">
        <v>88.490258999999895</v>
      </c>
      <c r="D324">
        <v>27.123667999999899</v>
      </c>
      <c r="E324" t="s">
        <v>1082</v>
      </c>
      <c r="F324">
        <v>7</v>
      </c>
      <c r="G324" t="s">
        <v>130</v>
      </c>
      <c r="H324" t="s">
        <v>72</v>
      </c>
      <c r="I324" t="s">
        <v>72</v>
      </c>
      <c r="J324" t="s">
        <v>88</v>
      </c>
      <c r="K324">
        <v>300</v>
      </c>
      <c r="L324">
        <v>200</v>
      </c>
      <c r="M324">
        <v>200</v>
      </c>
      <c r="N324">
        <v>60000</v>
      </c>
      <c r="O324" t="s">
        <v>89</v>
      </c>
      <c r="P324" t="s">
        <v>72</v>
      </c>
      <c r="Q324">
        <v>420000</v>
      </c>
      <c r="R324" t="s">
        <v>72</v>
      </c>
      <c r="S324" t="s">
        <v>73</v>
      </c>
      <c r="T324" t="s">
        <v>74</v>
      </c>
      <c r="U324" t="s">
        <v>90</v>
      </c>
      <c r="V324" t="s">
        <v>1083</v>
      </c>
      <c r="W324" t="s">
        <v>76</v>
      </c>
      <c r="X324" t="s">
        <v>77</v>
      </c>
      <c r="Y324">
        <v>2007</v>
      </c>
      <c r="Z324" t="s">
        <v>72</v>
      </c>
      <c r="AA324" t="s">
        <v>72</v>
      </c>
      <c r="AB324" t="s">
        <v>72</v>
      </c>
      <c r="AC324" t="s">
        <v>72</v>
      </c>
      <c r="AD324" t="s">
        <v>1084</v>
      </c>
      <c r="AE324">
        <v>0</v>
      </c>
      <c r="AF324" t="s">
        <v>79</v>
      </c>
      <c r="AG324" t="s">
        <v>94</v>
      </c>
      <c r="AH324" t="s">
        <v>95</v>
      </c>
      <c r="AI324" t="s">
        <v>121</v>
      </c>
      <c r="AJ324" t="s">
        <v>113</v>
      </c>
      <c r="AK324">
        <v>0</v>
      </c>
      <c r="AL324">
        <v>0</v>
      </c>
      <c r="AM324">
        <v>0</v>
      </c>
      <c r="AN324" t="s">
        <v>98</v>
      </c>
      <c r="AO324" t="s">
        <v>82</v>
      </c>
      <c r="AP324" t="s">
        <v>99</v>
      </c>
      <c r="AQ324" t="s">
        <v>72</v>
      </c>
      <c r="AR324" t="s">
        <v>72</v>
      </c>
      <c r="AS324" t="s">
        <v>72</v>
      </c>
      <c r="AT324" t="s">
        <v>328</v>
      </c>
      <c r="AU324" t="s">
        <v>72</v>
      </c>
      <c r="AV324" t="s">
        <v>329</v>
      </c>
      <c r="AW324" t="s">
        <v>72</v>
      </c>
      <c r="AX324" t="s">
        <v>330</v>
      </c>
      <c r="AY324">
        <v>32.266201000000002</v>
      </c>
      <c r="AZ324">
        <v>126</v>
      </c>
      <c r="BA324">
        <v>-1.28</v>
      </c>
      <c r="BB324">
        <v>401.5870056</v>
      </c>
      <c r="BC324">
        <v>-0.117521</v>
      </c>
      <c r="BD324">
        <v>0.155387</v>
      </c>
      <c r="BE324">
        <v>62.5</v>
      </c>
      <c r="BF324">
        <v>5.0236802000000003</v>
      </c>
      <c r="BG324">
        <v>0.50264500000000001</v>
      </c>
      <c r="BH324">
        <v>1.5290600000000001</v>
      </c>
      <c r="BI324">
        <v>1.14601</v>
      </c>
      <c r="BJ324">
        <v>162.97999569999999</v>
      </c>
      <c r="BK324">
        <v>4</v>
      </c>
      <c r="BL324">
        <v>0</v>
      </c>
      <c r="BM324">
        <v>7328.8500977000003</v>
      </c>
      <c r="BN324">
        <v>2666.7199707</v>
      </c>
      <c r="BO324">
        <v>60.592800099999998</v>
      </c>
      <c r="BP324">
        <v>313</v>
      </c>
      <c r="BQ324">
        <v>6</v>
      </c>
      <c r="BR324">
        <v>3</v>
      </c>
    </row>
    <row r="325" spans="1:70" x14ac:dyDescent="0.25">
      <c r="A325">
        <v>322</v>
      </c>
      <c r="B325">
        <v>10307</v>
      </c>
      <c r="C325">
        <v>88.490673999999899</v>
      </c>
      <c r="D325">
        <v>27.124333</v>
      </c>
      <c r="E325" t="s">
        <v>1085</v>
      </c>
      <c r="F325">
        <v>4</v>
      </c>
      <c r="G325" t="s">
        <v>130</v>
      </c>
      <c r="H325" t="s">
        <v>72</v>
      </c>
      <c r="I325" t="s">
        <v>72</v>
      </c>
      <c r="J325" t="s">
        <v>88</v>
      </c>
      <c r="K325">
        <v>200</v>
      </c>
      <c r="L325">
        <v>25</v>
      </c>
      <c r="M325">
        <v>150</v>
      </c>
      <c r="N325">
        <v>5000</v>
      </c>
      <c r="O325" t="s">
        <v>89</v>
      </c>
      <c r="P325" t="s">
        <v>72</v>
      </c>
      <c r="Q325">
        <v>20000</v>
      </c>
      <c r="R325" t="s">
        <v>72</v>
      </c>
      <c r="S325" t="s">
        <v>73</v>
      </c>
      <c r="T325" t="s">
        <v>74</v>
      </c>
      <c r="U325" t="s">
        <v>90</v>
      </c>
      <c r="V325" t="s">
        <v>1086</v>
      </c>
      <c r="W325" t="s">
        <v>76</v>
      </c>
      <c r="X325" t="s">
        <v>77</v>
      </c>
      <c r="Y325">
        <v>2007</v>
      </c>
      <c r="Z325" t="s">
        <v>72</v>
      </c>
      <c r="AA325" t="s">
        <v>72</v>
      </c>
      <c r="AB325" t="s">
        <v>72</v>
      </c>
      <c r="AC325" t="s">
        <v>72</v>
      </c>
      <c r="AD325" t="s">
        <v>1087</v>
      </c>
      <c r="AE325">
        <v>0</v>
      </c>
      <c r="AF325" t="s">
        <v>79</v>
      </c>
      <c r="AG325" t="s">
        <v>133</v>
      </c>
      <c r="AH325" t="s">
        <v>95</v>
      </c>
      <c r="AI325" t="s">
        <v>96</v>
      </c>
      <c r="AJ325" t="s">
        <v>97</v>
      </c>
      <c r="AK325">
        <v>0</v>
      </c>
      <c r="AL325">
        <v>0</v>
      </c>
      <c r="AM325">
        <v>0</v>
      </c>
      <c r="AN325" t="s">
        <v>98</v>
      </c>
      <c r="AO325" t="s">
        <v>72</v>
      </c>
      <c r="AP325" t="s">
        <v>99</v>
      </c>
      <c r="AQ325" t="s">
        <v>72</v>
      </c>
      <c r="AR325" t="s">
        <v>72</v>
      </c>
      <c r="AS325" t="s">
        <v>72</v>
      </c>
      <c r="AT325" t="s">
        <v>292</v>
      </c>
      <c r="AU325" t="s">
        <v>72</v>
      </c>
      <c r="AV325" t="s">
        <v>293</v>
      </c>
      <c r="AW325" t="s">
        <v>72</v>
      </c>
      <c r="AX325" t="s">
        <v>998</v>
      </c>
      <c r="AY325">
        <v>41.289001499999998</v>
      </c>
      <c r="AZ325">
        <v>166</v>
      </c>
      <c r="BA325">
        <v>1.28</v>
      </c>
      <c r="BB325">
        <v>401.5870056</v>
      </c>
      <c r="BC325">
        <v>-0.107034</v>
      </c>
      <c r="BD325">
        <v>0.143678</v>
      </c>
      <c r="BE325">
        <v>0</v>
      </c>
      <c r="BF325">
        <v>5.1405400999999999</v>
      </c>
      <c r="BG325">
        <v>0.51111099999999998</v>
      </c>
      <c r="BH325">
        <v>2.2692201000000001</v>
      </c>
      <c r="BI325">
        <v>1.18475</v>
      </c>
      <c r="BJ325">
        <v>80.039100599999998</v>
      </c>
      <c r="BK325">
        <v>7</v>
      </c>
      <c r="BL325">
        <v>0</v>
      </c>
      <c r="BM325">
        <v>7405.4199219000002</v>
      </c>
      <c r="BN325">
        <v>2594.2800293</v>
      </c>
      <c r="BO325">
        <v>30.0685997</v>
      </c>
      <c r="BP325">
        <v>268</v>
      </c>
      <c r="BQ325">
        <v>6</v>
      </c>
      <c r="BR325">
        <v>3</v>
      </c>
    </row>
    <row r="326" spans="1:70" x14ac:dyDescent="0.25">
      <c r="A326">
        <v>323</v>
      </c>
      <c r="B326">
        <v>10342</v>
      </c>
      <c r="C326">
        <v>88.490690999999899</v>
      </c>
      <c r="D326">
        <v>27.124334999999899</v>
      </c>
      <c r="E326" t="s">
        <v>1088</v>
      </c>
      <c r="F326">
        <v>10</v>
      </c>
      <c r="G326" t="s">
        <v>148</v>
      </c>
      <c r="H326" t="s">
        <v>72</v>
      </c>
      <c r="I326" t="s">
        <v>72</v>
      </c>
      <c r="J326" t="s">
        <v>88</v>
      </c>
      <c r="K326">
        <v>15</v>
      </c>
      <c r="L326">
        <v>10</v>
      </c>
      <c r="M326">
        <v>10</v>
      </c>
      <c r="N326">
        <v>150</v>
      </c>
      <c r="O326" t="s">
        <v>89</v>
      </c>
      <c r="P326" t="s">
        <v>72</v>
      </c>
      <c r="Q326">
        <v>1500</v>
      </c>
      <c r="R326" t="s">
        <v>72</v>
      </c>
      <c r="S326" t="s">
        <v>73</v>
      </c>
      <c r="T326" t="s">
        <v>74</v>
      </c>
      <c r="U326" t="s">
        <v>90</v>
      </c>
      <c r="V326" t="s">
        <v>1089</v>
      </c>
      <c r="W326" t="s">
        <v>76</v>
      </c>
      <c r="X326" t="s">
        <v>77</v>
      </c>
      <c r="Y326">
        <v>2016</v>
      </c>
      <c r="Z326" t="s">
        <v>72</v>
      </c>
      <c r="AA326" t="s">
        <v>72</v>
      </c>
      <c r="AB326" t="s">
        <v>72</v>
      </c>
      <c r="AC326" t="s">
        <v>72</v>
      </c>
      <c r="AD326" t="s">
        <v>1090</v>
      </c>
      <c r="AE326">
        <v>0</v>
      </c>
      <c r="AF326" t="s">
        <v>186</v>
      </c>
      <c r="AG326" t="s">
        <v>94</v>
      </c>
      <c r="AH326" t="s">
        <v>95</v>
      </c>
      <c r="AI326" t="s">
        <v>96</v>
      </c>
      <c r="AJ326" t="s">
        <v>97</v>
      </c>
      <c r="AK326">
        <v>0</v>
      </c>
      <c r="AL326">
        <v>0</v>
      </c>
      <c r="AM326">
        <v>0</v>
      </c>
      <c r="AN326" t="s">
        <v>72</v>
      </c>
      <c r="AO326" t="s">
        <v>72</v>
      </c>
      <c r="AP326" t="s">
        <v>72</v>
      </c>
      <c r="AQ326" t="s">
        <v>72</v>
      </c>
      <c r="AR326" t="s">
        <v>72</v>
      </c>
      <c r="AS326" t="s">
        <v>72</v>
      </c>
      <c r="AT326" t="s">
        <v>72</v>
      </c>
      <c r="AU326" t="s">
        <v>72</v>
      </c>
      <c r="AV326" t="s">
        <v>72</v>
      </c>
      <c r="AW326" t="s">
        <v>72</v>
      </c>
      <c r="AX326" t="s">
        <v>72</v>
      </c>
      <c r="AY326">
        <v>41.289001499999998</v>
      </c>
      <c r="AZ326">
        <v>166</v>
      </c>
      <c r="BA326">
        <v>1.28</v>
      </c>
      <c r="BB326">
        <v>401.5870056</v>
      </c>
      <c r="BC326">
        <v>-9.6188700000000002E-2</v>
      </c>
      <c r="BD326">
        <v>0.13377900000000001</v>
      </c>
      <c r="BE326">
        <v>0</v>
      </c>
      <c r="BF326">
        <v>5.1405400999999999</v>
      </c>
      <c r="BG326">
        <v>0.51111099999999998</v>
      </c>
      <c r="BH326">
        <v>2.2692201000000001</v>
      </c>
      <c r="BI326">
        <v>1.18475</v>
      </c>
      <c r="BJ326">
        <v>80.039100599999998</v>
      </c>
      <c r="BK326">
        <v>7</v>
      </c>
      <c r="BL326">
        <v>0</v>
      </c>
      <c r="BM326">
        <v>7405.4199219000002</v>
      </c>
      <c r="BN326">
        <v>2594.2800293</v>
      </c>
      <c r="BO326">
        <v>30.0685997</v>
      </c>
      <c r="BP326">
        <v>268</v>
      </c>
      <c r="BQ326">
        <v>6</v>
      </c>
      <c r="BR326">
        <v>3</v>
      </c>
    </row>
    <row r="327" spans="1:70" x14ac:dyDescent="0.25">
      <c r="A327">
        <v>324</v>
      </c>
      <c r="B327">
        <v>9322</v>
      </c>
      <c r="C327">
        <v>88.494388999999899</v>
      </c>
      <c r="D327">
        <v>27.153528000000001</v>
      </c>
      <c r="E327" t="s">
        <v>1091</v>
      </c>
      <c r="F327">
        <v>2.5</v>
      </c>
      <c r="G327" t="s">
        <v>225</v>
      </c>
      <c r="H327" t="s">
        <v>1092</v>
      </c>
      <c r="I327" t="s">
        <v>72</v>
      </c>
      <c r="J327" t="s">
        <v>562</v>
      </c>
      <c r="K327">
        <v>10</v>
      </c>
      <c r="L327">
        <v>40</v>
      </c>
      <c r="M327">
        <v>7</v>
      </c>
      <c r="N327">
        <v>400</v>
      </c>
      <c r="O327" t="s">
        <v>89</v>
      </c>
      <c r="P327" t="s">
        <v>72</v>
      </c>
      <c r="Q327">
        <v>560</v>
      </c>
      <c r="R327" t="s">
        <v>72</v>
      </c>
      <c r="S327" t="s">
        <v>563</v>
      </c>
      <c r="T327" t="s">
        <v>564</v>
      </c>
      <c r="U327" t="s">
        <v>90</v>
      </c>
      <c r="V327" t="s">
        <v>72</v>
      </c>
      <c r="W327" t="s">
        <v>208</v>
      </c>
      <c r="X327" t="s">
        <v>119</v>
      </c>
      <c r="Y327">
        <v>0</v>
      </c>
      <c r="Z327" t="s">
        <v>72</v>
      </c>
      <c r="AA327" t="s">
        <v>72</v>
      </c>
      <c r="AB327" t="s">
        <v>72</v>
      </c>
      <c r="AC327" t="s">
        <v>72</v>
      </c>
      <c r="AD327" t="s">
        <v>969</v>
      </c>
      <c r="AE327">
        <v>0</v>
      </c>
      <c r="AF327" t="s">
        <v>79</v>
      </c>
      <c r="AG327" t="s">
        <v>94</v>
      </c>
      <c r="AH327" t="s">
        <v>95</v>
      </c>
      <c r="AI327" t="s">
        <v>121</v>
      </c>
      <c r="AJ327" t="s">
        <v>609</v>
      </c>
      <c r="AK327">
        <v>0</v>
      </c>
      <c r="AL327">
        <v>0</v>
      </c>
      <c r="AM327">
        <v>0</v>
      </c>
      <c r="AN327" t="s">
        <v>192</v>
      </c>
      <c r="AO327" t="s">
        <v>82</v>
      </c>
      <c r="AP327" t="s">
        <v>114</v>
      </c>
      <c r="AQ327" t="s">
        <v>72</v>
      </c>
      <c r="AR327" t="s">
        <v>72</v>
      </c>
      <c r="AS327" t="s">
        <v>72</v>
      </c>
      <c r="AT327" t="s">
        <v>72</v>
      </c>
      <c r="AU327" t="s">
        <v>72</v>
      </c>
      <c r="AV327" t="s">
        <v>567</v>
      </c>
      <c r="AW327" t="s">
        <v>72</v>
      </c>
      <c r="AX327" t="s">
        <v>568</v>
      </c>
      <c r="AY327">
        <v>32.311500500000001</v>
      </c>
      <c r="AZ327">
        <v>109</v>
      </c>
      <c r="BA327">
        <v>-1.28</v>
      </c>
      <c r="BB327">
        <v>564.0819702</v>
      </c>
      <c r="BC327">
        <v>-0.134135</v>
      </c>
      <c r="BD327">
        <v>0.14684900000000001</v>
      </c>
      <c r="BE327">
        <v>12.5</v>
      </c>
      <c r="BF327">
        <v>5.5965499999999997</v>
      </c>
      <c r="BG327">
        <v>0.472223</v>
      </c>
      <c r="BH327">
        <v>1.8138700000000001</v>
      </c>
      <c r="BI327">
        <v>0.277582</v>
      </c>
      <c r="BJ327">
        <v>643.47698969999999</v>
      </c>
      <c r="BK327">
        <v>4</v>
      </c>
      <c r="BL327">
        <v>0</v>
      </c>
      <c r="BM327">
        <v>8327.4404297000001</v>
      </c>
      <c r="BN327">
        <v>810.57501219999995</v>
      </c>
      <c r="BO327">
        <v>198.4349976</v>
      </c>
      <c r="BP327">
        <v>1053</v>
      </c>
      <c r="BQ327">
        <v>6</v>
      </c>
      <c r="BR327">
        <v>3</v>
      </c>
    </row>
    <row r="328" spans="1:70" x14ac:dyDescent="0.25">
      <c r="A328">
        <v>325</v>
      </c>
      <c r="B328">
        <v>9340</v>
      </c>
      <c r="C328">
        <v>88.493194000000003</v>
      </c>
      <c r="D328">
        <v>27.154889000000001</v>
      </c>
      <c r="E328" t="s">
        <v>1093</v>
      </c>
      <c r="F328">
        <v>2.5</v>
      </c>
      <c r="G328" t="s">
        <v>225</v>
      </c>
      <c r="H328" t="s">
        <v>1027</v>
      </c>
      <c r="I328" t="s">
        <v>72</v>
      </c>
      <c r="J328" t="s">
        <v>562</v>
      </c>
      <c r="K328">
        <v>20</v>
      </c>
      <c r="L328">
        <v>100</v>
      </c>
      <c r="M328">
        <v>15</v>
      </c>
      <c r="N328">
        <v>2000</v>
      </c>
      <c r="O328" t="s">
        <v>89</v>
      </c>
      <c r="P328" t="s">
        <v>72</v>
      </c>
      <c r="Q328">
        <v>3000</v>
      </c>
      <c r="R328" t="s">
        <v>72</v>
      </c>
      <c r="S328" t="s">
        <v>563</v>
      </c>
      <c r="T328" t="s">
        <v>564</v>
      </c>
      <c r="U328" t="s">
        <v>90</v>
      </c>
      <c r="V328" t="s">
        <v>72</v>
      </c>
      <c r="W328" t="s">
        <v>208</v>
      </c>
      <c r="X328" t="s">
        <v>119</v>
      </c>
      <c r="Y328">
        <v>0</v>
      </c>
      <c r="Z328" t="s">
        <v>72</v>
      </c>
      <c r="AA328" t="s">
        <v>72</v>
      </c>
      <c r="AB328" t="s">
        <v>72</v>
      </c>
      <c r="AC328" t="s">
        <v>72</v>
      </c>
      <c r="AD328" t="s">
        <v>969</v>
      </c>
      <c r="AE328">
        <v>0</v>
      </c>
      <c r="AF328" t="s">
        <v>79</v>
      </c>
      <c r="AG328" t="s">
        <v>94</v>
      </c>
      <c r="AH328" t="s">
        <v>95</v>
      </c>
      <c r="AI328" t="s">
        <v>121</v>
      </c>
      <c r="AJ328" t="s">
        <v>97</v>
      </c>
      <c r="AK328">
        <v>0</v>
      </c>
      <c r="AL328">
        <v>0</v>
      </c>
      <c r="AM328">
        <v>0</v>
      </c>
      <c r="AN328" t="s">
        <v>98</v>
      </c>
      <c r="AO328" t="s">
        <v>82</v>
      </c>
      <c r="AP328" t="s">
        <v>114</v>
      </c>
      <c r="AQ328" t="s">
        <v>72</v>
      </c>
      <c r="AR328" t="s">
        <v>72</v>
      </c>
      <c r="AS328" t="s">
        <v>72</v>
      </c>
      <c r="AT328" t="s">
        <v>72</v>
      </c>
      <c r="AU328" t="s">
        <v>72</v>
      </c>
      <c r="AV328" t="s">
        <v>567</v>
      </c>
      <c r="AW328" t="s">
        <v>72</v>
      </c>
      <c r="AX328" t="s">
        <v>568</v>
      </c>
      <c r="AY328">
        <v>37.9314003</v>
      </c>
      <c r="AZ328">
        <v>164</v>
      </c>
      <c r="BA328">
        <v>-3.2</v>
      </c>
      <c r="BB328">
        <v>562.88800049999998</v>
      </c>
      <c r="BC328">
        <v>-0.11005</v>
      </c>
      <c r="BD328">
        <v>0.14238500000000001</v>
      </c>
      <c r="BE328">
        <v>12.5</v>
      </c>
      <c r="BF328">
        <v>5.3767899999999997</v>
      </c>
      <c r="BG328">
        <v>0.45679199999999998</v>
      </c>
      <c r="BH328">
        <v>1.8510899999999999</v>
      </c>
      <c r="BI328">
        <v>0.247639</v>
      </c>
      <c r="BJ328">
        <v>581.0819702</v>
      </c>
      <c r="BK328">
        <v>4</v>
      </c>
      <c r="BL328">
        <v>0</v>
      </c>
      <c r="BM328">
        <v>8140.2299805000002</v>
      </c>
      <c r="BN328">
        <v>795.00402829999996</v>
      </c>
      <c r="BO328">
        <v>236.51400760000001</v>
      </c>
      <c r="BP328">
        <v>1072</v>
      </c>
      <c r="BQ328">
        <v>6</v>
      </c>
      <c r="BR328">
        <v>3</v>
      </c>
    </row>
    <row r="329" spans="1:70" x14ac:dyDescent="0.25">
      <c r="A329">
        <v>326</v>
      </c>
      <c r="B329">
        <v>9341</v>
      </c>
      <c r="C329">
        <v>88.491721999999896</v>
      </c>
      <c r="D329">
        <v>27.158111000000002</v>
      </c>
      <c r="E329" t="s">
        <v>1094</v>
      </c>
      <c r="F329">
        <v>2.5</v>
      </c>
      <c r="G329" t="s">
        <v>225</v>
      </c>
      <c r="H329" t="s">
        <v>1095</v>
      </c>
      <c r="I329" t="s">
        <v>72</v>
      </c>
      <c r="J329" t="s">
        <v>562</v>
      </c>
      <c r="K329">
        <v>18</v>
      </c>
      <c r="L329">
        <v>75</v>
      </c>
      <c r="M329">
        <v>15</v>
      </c>
      <c r="N329">
        <v>1350</v>
      </c>
      <c r="O329" t="s">
        <v>89</v>
      </c>
      <c r="P329" t="s">
        <v>72</v>
      </c>
      <c r="Q329">
        <v>2250</v>
      </c>
      <c r="R329" t="s">
        <v>72</v>
      </c>
      <c r="S329" t="s">
        <v>563</v>
      </c>
      <c r="T329" t="s">
        <v>564</v>
      </c>
      <c r="U329" t="s">
        <v>90</v>
      </c>
      <c r="V329" t="s">
        <v>72</v>
      </c>
      <c r="W329" t="s">
        <v>76</v>
      </c>
      <c r="X329" t="s">
        <v>119</v>
      </c>
      <c r="Y329">
        <v>0</v>
      </c>
      <c r="Z329" t="s">
        <v>72</v>
      </c>
      <c r="AA329" t="s">
        <v>72</v>
      </c>
      <c r="AB329" t="s">
        <v>72</v>
      </c>
      <c r="AC329" t="s">
        <v>72</v>
      </c>
      <c r="AD329" t="s">
        <v>969</v>
      </c>
      <c r="AE329">
        <v>0</v>
      </c>
      <c r="AF329" t="s">
        <v>79</v>
      </c>
      <c r="AG329" t="s">
        <v>94</v>
      </c>
      <c r="AH329" t="s">
        <v>95</v>
      </c>
      <c r="AI329" t="s">
        <v>121</v>
      </c>
      <c r="AJ329" t="s">
        <v>97</v>
      </c>
      <c r="AK329">
        <v>0</v>
      </c>
      <c r="AL329">
        <v>0</v>
      </c>
      <c r="AM329">
        <v>0</v>
      </c>
      <c r="AN329" t="s">
        <v>98</v>
      </c>
      <c r="AO329" t="s">
        <v>82</v>
      </c>
      <c r="AP329" t="s">
        <v>114</v>
      </c>
      <c r="AQ329" t="s">
        <v>72</v>
      </c>
      <c r="AR329" t="s">
        <v>72</v>
      </c>
      <c r="AS329" t="s">
        <v>72</v>
      </c>
      <c r="AT329" t="s">
        <v>72</v>
      </c>
      <c r="AU329" t="s">
        <v>72</v>
      </c>
      <c r="AV329" t="s">
        <v>567</v>
      </c>
      <c r="AW329" t="s">
        <v>72</v>
      </c>
      <c r="AX329" t="s">
        <v>568</v>
      </c>
      <c r="AY329">
        <v>35.806198100000003</v>
      </c>
      <c r="AZ329">
        <v>148</v>
      </c>
      <c r="BA329">
        <v>-4.4800000000000004</v>
      </c>
      <c r="BB329">
        <v>544.82299799999998</v>
      </c>
      <c r="BC329">
        <v>-0.12425899999999999</v>
      </c>
      <c r="BD329">
        <v>0.143956</v>
      </c>
      <c r="BE329">
        <v>12.5</v>
      </c>
      <c r="BF329">
        <v>5.1548901000000003</v>
      </c>
      <c r="BG329">
        <v>0.45726600000000001</v>
      </c>
      <c r="BH329">
        <v>1.8721399999999999</v>
      </c>
      <c r="BI329">
        <v>0.175706</v>
      </c>
      <c r="BJ329">
        <v>618.97100829999999</v>
      </c>
      <c r="BK329">
        <v>4</v>
      </c>
      <c r="BL329">
        <v>0</v>
      </c>
      <c r="BM329">
        <v>7755.7402344000002</v>
      </c>
      <c r="BN329">
        <v>875</v>
      </c>
      <c r="BO329">
        <v>226.12300110000001</v>
      </c>
      <c r="BP329">
        <v>1068</v>
      </c>
      <c r="BQ329">
        <v>6</v>
      </c>
      <c r="BR329">
        <v>3</v>
      </c>
    </row>
    <row r="330" spans="1:70" x14ac:dyDescent="0.25">
      <c r="A330">
        <v>327</v>
      </c>
      <c r="B330">
        <v>9345</v>
      </c>
      <c r="C330">
        <v>88.491444000000001</v>
      </c>
      <c r="D330">
        <v>27.1621109999999</v>
      </c>
      <c r="E330" t="s">
        <v>1096</v>
      </c>
      <c r="F330">
        <v>2.5</v>
      </c>
      <c r="G330" t="s">
        <v>225</v>
      </c>
      <c r="H330" t="s">
        <v>1097</v>
      </c>
      <c r="I330" t="s">
        <v>72</v>
      </c>
      <c r="J330" t="s">
        <v>562</v>
      </c>
      <c r="K330">
        <v>20</v>
      </c>
      <c r="L330">
        <v>100</v>
      </c>
      <c r="M330">
        <v>15</v>
      </c>
      <c r="N330">
        <v>2000</v>
      </c>
      <c r="O330" t="s">
        <v>89</v>
      </c>
      <c r="P330" t="s">
        <v>72</v>
      </c>
      <c r="Q330">
        <v>3000</v>
      </c>
      <c r="R330" t="s">
        <v>72</v>
      </c>
      <c r="S330" t="s">
        <v>563</v>
      </c>
      <c r="T330" t="s">
        <v>564</v>
      </c>
      <c r="U330" t="s">
        <v>90</v>
      </c>
      <c r="V330" t="s">
        <v>72</v>
      </c>
      <c r="W330" t="s">
        <v>76</v>
      </c>
      <c r="X330" t="s">
        <v>119</v>
      </c>
      <c r="Y330">
        <v>0</v>
      </c>
      <c r="Z330" t="s">
        <v>72</v>
      </c>
      <c r="AA330" t="s">
        <v>72</v>
      </c>
      <c r="AB330" t="s">
        <v>72</v>
      </c>
      <c r="AC330" t="s">
        <v>72</v>
      </c>
      <c r="AD330" t="s">
        <v>969</v>
      </c>
      <c r="AE330">
        <v>0</v>
      </c>
      <c r="AF330" t="s">
        <v>148</v>
      </c>
      <c r="AG330" t="s">
        <v>385</v>
      </c>
      <c r="AH330" t="s">
        <v>95</v>
      </c>
      <c r="AI330" t="s">
        <v>121</v>
      </c>
      <c r="AJ330" t="s">
        <v>97</v>
      </c>
      <c r="AK330">
        <v>0</v>
      </c>
      <c r="AL330">
        <v>0</v>
      </c>
      <c r="AM330">
        <v>0</v>
      </c>
      <c r="AN330" t="s">
        <v>98</v>
      </c>
      <c r="AO330" t="s">
        <v>82</v>
      </c>
      <c r="AP330" t="s">
        <v>386</v>
      </c>
      <c r="AQ330" t="s">
        <v>72</v>
      </c>
      <c r="AR330" t="s">
        <v>72</v>
      </c>
      <c r="AS330" t="s">
        <v>72</v>
      </c>
      <c r="AT330" t="s">
        <v>72</v>
      </c>
      <c r="AU330" t="s">
        <v>72</v>
      </c>
      <c r="AV330" t="s">
        <v>1098</v>
      </c>
      <c r="AW330" t="s">
        <v>72</v>
      </c>
      <c r="AX330" t="s">
        <v>1020</v>
      </c>
      <c r="AY330">
        <v>28.8467007</v>
      </c>
      <c r="AZ330">
        <v>222</v>
      </c>
      <c r="BA330">
        <v>-1.92</v>
      </c>
      <c r="BB330">
        <v>531.37799070000005</v>
      </c>
      <c r="BC330">
        <v>-0.14172899999999999</v>
      </c>
      <c r="BD330">
        <v>0.17127800000000001</v>
      </c>
      <c r="BE330">
        <v>12.5</v>
      </c>
      <c r="BF330">
        <v>5.0679898000000003</v>
      </c>
      <c r="BG330">
        <v>0.45926099999999997</v>
      </c>
      <c r="BH330">
        <v>1.19739</v>
      </c>
      <c r="BI330">
        <v>9.7838300000000003E-2</v>
      </c>
      <c r="BJ330">
        <v>956.06597899999997</v>
      </c>
      <c r="BK330">
        <v>7</v>
      </c>
      <c r="BL330">
        <v>0</v>
      </c>
      <c r="BM330">
        <v>7376.0600586</v>
      </c>
      <c r="BN330">
        <v>1168.4699707</v>
      </c>
      <c r="BO330">
        <v>273.1220093</v>
      </c>
      <c r="BP330">
        <v>1090</v>
      </c>
      <c r="BQ330">
        <v>6</v>
      </c>
      <c r="BR330">
        <v>3</v>
      </c>
    </row>
    <row r="331" spans="1:70" x14ac:dyDescent="0.25">
      <c r="A331">
        <v>328</v>
      </c>
      <c r="B331">
        <v>9344</v>
      </c>
      <c r="C331">
        <v>88.496555999999899</v>
      </c>
      <c r="D331">
        <v>27.165527999999899</v>
      </c>
      <c r="E331" t="s">
        <v>1099</v>
      </c>
      <c r="F331">
        <v>2.5</v>
      </c>
      <c r="G331" t="s">
        <v>225</v>
      </c>
      <c r="H331" t="s">
        <v>1100</v>
      </c>
      <c r="I331" t="s">
        <v>72</v>
      </c>
      <c r="J331" t="s">
        <v>562</v>
      </c>
      <c r="K331">
        <v>15</v>
      </c>
      <c r="L331">
        <v>30</v>
      </c>
      <c r="M331">
        <v>10</v>
      </c>
      <c r="N331">
        <v>450</v>
      </c>
      <c r="O331" t="s">
        <v>89</v>
      </c>
      <c r="P331" t="s">
        <v>72</v>
      </c>
      <c r="Q331">
        <v>600</v>
      </c>
      <c r="R331" t="s">
        <v>72</v>
      </c>
      <c r="S331" t="s">
        <v>563</v>
      </c>
      <c r="T331" t="s">
        <v>564</v>
      </c>
      <c r="U331" t="s">
        <v>90</v>
      </c>
      <c r="V331" t="s">
        <v>72</v>
      </c>
      <c r="W331" t="s">
        <v>76</v>
      </c>
      <c r="X331" t="s">
        <v>119</v>
      </c>
      <c r="Y331">
        <v>0</v>
      </c>
      <c r="Z331" t="s">
        <v>72</v>
      </c>
      <c r="AA331" t="s">
        <v>72</v>
      </c>
      <c r="AB331" t="s">
        <v>72</v>
      </c>
      <c r="AC331" t="s">
        <v>72</v>
      </c>
      <c r="AD331" t="s">
        <v>969</v>
      </c>
      <c r="AE331">
        <v>0</v>
      </c>
      <c r="AF331" t="s">
        <v>79</v>
      </c>
      <c r="AG331" t="s">
        <v>94</v>
      </c>
      <c r="AH331" t="s">
        <v>95</v>
      </c>
      <c r="AI331" t="s">
        <v>121</v>
      </c>
      <c r="AJ331" t="s">
        <v>97</v>
      </c>
      <c r="AK331">
        <v>0</v>
      </c>
      <c r="AL331">
        <v>0</v>
      </c>
      <c r="AM331">
        <v>0</v>
      </c>
      <c r="AN331" t="s">
        <v>98</v>
      </c>
      <c r="AO331" t="s">
        <v>82</v>
      </c>
      <c r="AP331" t="s">
        <v>386</v>
      </c>
      <c r="AQ331" t="s">
        <v>72</v>
      </c>
      <c r="AR331" t="s">
        <v>72</v>
      </c>
      <c r="AS331" t="s">
        <v>72</v>
      </c>
      <c r="AT331" t="s">
        <v>72</v>
      </c>
      <c r="AU331" t="s">
        <v>72</v>
      </c>
      <c r="AV331" t="s">
        <v>567</v>
      </c>
      <c r="AW331" t="s">
        <v>72</v>
      </c>
      <c r="AX331" t="s">
        <v>568</v>
      </c>
      <c r="AY331">
        <v>28.548799500000001</v>
      </c>
      <c r="AZ331">
        <v>144</v>
      </c>
      <c r="BA331">
        <v>1.92</v>
      </c>
      <c r="BB331">
        <v>611.75897220000002</v>
      </c>
      <c r="BC331">
        <v>-0.203267</v>
      </c>
      <c r="BD331">
        <v>0.24676799999999999</v>
      </c>
      <c r="BE331">
        <v>541.12200929999995</v>
      </c>
      <c r="BF331">
        <v>3.8275700000000001</v>
      </c>
      <c r="BG331">
        <v>0.49707699999999999</v>
      </c>
      <c r="BH331">
        <v>-0.60586200000000001</v>
      </c>
      <c r="BI331">
        <v>0</v>
      </c>
      <c r="BJ331">
        <v>1547.6300048999999</v>
      </c>
      <c r="BK331">
        <v>6</v>
      </c>
      <c r="BL331">
        <v>0</v>
      </c>
      <c r="BM331">
        <v>7382.4599608999997</v>
      </c>
      <c r="BN331">
        <v>1781.5500488</v>
      </c>
      <c r="BO331">
        <v>53.972599000000002</v>
      </c>
      <c r="BP331">
        <v>1218</v>
      </c>
      <c r="BQ331">
        <v>6</v>
      </c>
      <c r="BR331">
        <v>3</v>
      </c>
    </row>
    <row r="332" spans="1:70" x14ac:dyDescent="0.25">
      <c r="A332">
        <v>329</v>
      </c>
      <c r="B332">
        <v>13302</v>
      </c>
      <c r="C332">
        <v>88.551108999999897</v>
      </c>
      <c r="D332">
        <v>27.151457000000001</v>
      </c>
      <c r="E332" t="s">
        <v>1101</v>
      </c>
      <c r="F332">
        <v>1</v>
      </c>
      <c r="G332" t="s">
        <v>162</v>
      </c>
      <c r="H332" t="s">
        <v>72</v>
      </c>
      <c r="I332" t="s">
        <v>72</v>
      </c>
      <c r="J332" t="s">
        <v>88</v>
      </c>
      <c r="K332">
        <v>350</v>
      </c>
      <c r="L332">
        <v>200</v>
      </c>
      <c r="M332">
        <v>0</v>
      </c>
      <c r="N332">
        <v>70000</v>
      </c>
      <c r="O332" t="s">
        <v>89</v>
      </c>
      <c r="P332" t="s">
        <v>72</v>
      </c>
      <c r="Q332">
        <v>70000</v>
      </c>
      <c r="R332" t="s">
        <v>72</v>
      </c>
      <c r="S332" t="s">
        <v>73</v>
      </c>
      <c r="T332" t="s">
        <v>74</v>
      </c>
      <c r="U332" t="s">
        <v>776</v>
      </c>
      <c r="V332" t="s">
        <v>72</v>
      </c>
      <c r="W332" t="s">
        <v>76</v>
      </c>
      <c r="X332" t="s">
        <v>77</v>
      </c>
      <c r="Y332">
        <v>2006</v>
      </c>
      <c r="Z332" t="s">
        <v>72</v>
      </c>
      <c r="AA332" t="s">
        <v>72</v>
      </c>
      <c r="AB332" t="s">
        <v>72</v>
      </c>
      <c r="AC332" t="s">
        <v>72</v>
      </c>
      <c r="AD332" t="s">
        <v>72</v>
      </c>
      <c r="AE332">
        <v>0</v>
      </c>
      <c r="AF332" t="s">
        <v>79</v>
      </c>
      <c r="AG332" t="s">
        <v>94</v>
      </c>
      <c r="AH332" t="s">
        <v>95</v>
      </c>
      <c r="AI332" t="s">
        <v>96</v>
      </c>
      <c r="AJ332" t="s">
        <v>113</v>
      </c>
      <c r="AK332">
        <v>0</v>
      </c>
      <c r="AL332">
        <v>0</v>
      </c>
      <c r="AM332">
        <v>0</v>
      </c>
      <c r="AN332" t="s">
        <v>192</v>
      </c>
      <c r="AO332" t="s">
        <v>82</v>
      </c>
      <c r="AP332" t="s">
        <v>114</v>
      </c>
      <c r="AQ332" t="s">
        <v>72</v>
      </c>
      <c r="AR332" t="s">
        <v>72</v>
      </c>
      <c r="AS332" t="s">
        <v>72</v>
      </c>
      <c r="AT332" t="s">
        <v>1102</v>
      </c>
      <c r="AU332" t="s">
        <v>72</v>
      </c>
      <c r="AV332" t="s">
        <v>72</v>
      </c>
      <c r="AW332" t="s">
        <v>72</v>
      </c>
      <c r="AX332" t="s">
        <v>998</v>
      </c>
      <c r="AY332">
        <v>33.901599900000001</v>
      </c>
      <c r="AZ332">
        <v>134</v>
      </c>
      <c r="BA332">
        <v>-0.64</v>
      </c>
      <c r="BB332">
        <v>599.09698490000005</v>
      </c>
      <c r="BC332">
        <v>-0.15871499999999999</v>
      </c>
      <c r="BD332">
        <v>0.18682099999999999</v>
      </c>
      <c r="BE332">
        <v>1013.1199951</v>
      </c>
      <c r="BF332">
        <v>4.8534198000000002</v>
      </c>
      <c r="BG332">
        <v>0.472221</v>
      </c>
      <c r="BH332">
        <v>1.41161</v>
      </c>
      <c r="BI332">
        <v>0.32148300000000002</v>
      </c>
      <c r="BJ332">
        <v>330.0090027</v>
      </c>
      <c r="BK332">
        <v>4</v>
      </c>
      <c r="BL332">
        <v>0</v>
      </c>
      <c r="BM332">
        <v>7292.6499022999997</v>
      </c>
      <c r="BN332">
        <v>5809.9599608999997</v>
      </c>
      <c r="BO332">
        <v>216.52900700000001</v>
      </c>
      <c r="BP332">
        <v>749</v>
      </c>
      <c r="BQ332">
        <v>6</v>
      </c>
      <c r="BR332">
        <v>3</v>
      </c>
    </row>
    <row r="333" spans="1:70" x14ac:dyDescent="0.25">
      <c r="A333">
        <v>330</v>
      </c>
      <c r="B333">
        <v>13130</v>
      </c>
      <c r="C333">
        <v>88.507400000000004</v>
      </c>
      <c r="D333">
        <v>27.119812</v>
      </c>
      <c r="E333" t="s">
        <v>1103</v>
      </c>
      <c r="F333">
        <v>1</v>
      </c>
      <c r="G333" t="s">
        <v>87</v>
      </c>
      <c r="H333" t="s">
        <v>72</v>
      </c>
      <c r="I333" t="s">
        <v>72</v>
      </c>
      <c r="J333" t="s">
        <v>88</v>
      </c>
      <c r="K333">
        <v>38</v>
      </c>
      <c r="L333">
        <v>37</v>
      </c>
      <c r="M333">
        <v>0</v>
      </c>
      <c r="N333">
        <v>1406</v>
      </c>
      <c r="O333" t="s">
        <v>1104</v>
      </c>
      <c r="P333" t="s">
        <v>72</v>
      </c>
      <c r="Q333">
        <v>1406</v>
      </c>
      <c r="R333" t="s">
        <v>72</v>
      </c>
      <c r="S333" t="s">
        <v>73</v>
      </c>
      <c r="T333" t="s">
        <v>74</v>
      </c>
      <c r="U333" t="s">
        <v>776</v>
      </c>
      <c r="V333" t="s">
        <v>72</v>
      </c>
      <c r="W333" t="s">
        <v>76</v>
      </c>
      <c r="X333" t="s">
        <v>77</v>
      </c>
      <c r="Y333">
        <v>2014</v>
      </c>
      <c r="Z333" t="s">
        <v>72</v>
      </c>
      <c r="AA333" t="s">
        <v>72</v>
      </c>
      <c r="AB333" t="s">
        <v>72</v>
      </c>
      <c r="AC333" t="s">
        <v>72</v>
      </c>
      <c r="AD333" t="s">
        <v>72</v>
      </c>
      <c r="AE333">
        <v>0</v>
      </c>
      <c r="AF333" t="s">
        <v>79</v>
      </c>
      <c r="AG333" t="s">
        <v>94</v>
      </c>
      <c r="AH333" t="s">
        <v>95</v>
      </c>
      <c r="AI333" t="s">
        <v>96</v>
      </c>
      <c r="AJ333" t="s">
        <v>113</v>
      </c>
      <c r="AK333">
        <v>0</v>
      </c>
      <c r="AL333">
        <v>0</v>
      </c>
      <c r="AM333">
        <v>0</v>
      </c>
      <c r="AN333" t="s">
        <v>181</v>
      </c>
      <c r="AO333" t="s">
        <v>72</v>
      </c>
      <c r="AP333" t="s">
        <v>114</v>
      </c>
      <c r="AQ333" t="s">
        <v>72</v>
      </c>
      <c r="AR333" t="s">
        <v>72</v>
      </c>
      <c r="AS333" t="s">
        <v>72</v>
      </c>
      <c r="AT333" t="s">
        <v>1105</v>
      </c>
      <c r="AU333" t="s">
        <v>72</v>
      </c>
      <c r="AV333" t="s">
        <v>1106</v>
      </c>
      <c r="AW333" t="s">
        <v>72</v>
      </c>
      <c r="AX333" t="s">
        <v>1107</v>
      </c>
      <c r="AY333">
        <v>29.565099700000001</v>
      </c>
      <c r="AZ333">
        <v>150</v>
      </c>
      <c r="BA333">
        <v>1.28</v>
      </c>
      <c r="BB333">
        <v>501.77899170000001</v>
      </c>
      <c r="BC333">
        <v>-7.7596700000000005E-2</v>
      </c>
      <c r="BD333">
        <v>0.11239499999999999</v>
      </c>
      <c r="BE333">
        <v>719.59198000000004</v>
      </c>
      <c r="BF333">
        <v>4.4789399999999997</v>
      </c>
      <c r="BG333">
        <v>0.52222299999999999</v>
      </c>
      <c r="BH333">
        <v>0.53379399999999999</v>
      </c>
      <c r="BI333">
        <v>1.1036699999999999</v>
      </c>
      <c r="BJ333">
        <v>341.18399049999999</v>
      </c>
      <c r="BK333">
        <v>4</v>
      </c>
      <c r="BL333">
        <v>0</v>
      </c>
      <c r="BM333">
        <v>8322.4501952999999</v>
      </c>
      <c r="BN333">
        <v>2450.7700195000002</v>
      </c>
      <c r="BO333">
        <v>220.71099849999999</v>
      </c>
      <c r="BP333">
        <v>548</v>
      </c>
      <c r="BQ333">
        <v>6</v>
      </c>
      <c r="BR333">
        <v>3</v>
      </c>
    </row>
    <row r="334" spans="1:70" x14ac:dyDescent="0.25">
      <c r="A334">
        <v>331</v>
      </c>
      <c r="B334">
        <v>12975</v>
      </c>
      <c r="C334">
        <v>88.523083</v>
      </c>
      <c r="D334">
        <v>27.119389000000002</v>
      </c>
      <c r="E334" t="s">
        <v>1108</v>
      </c>
      <c r="F334">
        <v>0.3</v>
      </c>
      <c r="G334" t="s">
        <v>102</v>
      </c>
      <c r="H334" t="s">
        <v>72</v>
      </c>
      <c r="I334" t="s">
        <v>72</v>
      </c>
      <c r="J334" t="s">
        <v>88</v>
      </c>
      <c r="K334">
        <v>15</v>
      </c>
      <c r="L334">
        <v>1</v>
      </c>
      <c r="M334">
        <v>0</v>
      </c>
      <c r="N334">
        <v>15</v>
      </c>
      <c r="O334" t="s">
        <v>105</v>
      </c>
      <c r="P334" t="s">
        <v>72</v>
      </c>
      <c r="Q334">
        <v>4.5</v>
      </c>
      <c r="R334" t="s">
        <v>72</v>
      </c>
      <c r="S334" t="s">
        <v>73</v>
      </c>
      <c r="T334" t="s">
        <v>74</v>
      </c>
      <c r="U334" t="s">
        <v>776</v>
      </c>
      <c r="V334" t="s">
        <v>1109</v>
      </c>
      <c r="W334" t="s">
        <v>76</v>
      </c>
      <c r="X334" t="s">
        <v>77</v>
      </c>
      <c r="Y334">
        <v>2015</v>
      </c>
      <c r="Z334" t="s">
        <v>72</v>
      </c>
      <c r="AA334" t="s">
        <v>72</v>
      </c>
      <c r="AB334" t="s">
        <v>72</v>
      </c>
      <c r="AC334" t="s">
        <v>72</v>
      </c>
      <c r="AD334" t="s">
        <v>1110</v>
      </c>
      <c r="AE334">
        <v>0</v>
      </c>
      <c r="AF334" t="s">
        <v>79</v>
      </c>
      <c r="AG334" t="s">
        <v>128</v>
      </c>
      <c r="AH334" t="s">
        <v>95</v>
      </c>
      <c r="AI334" t="s">
        <v>96</v>
      </c>
      <c r="AJ334" t="s">
        <v>97</v>
      </c>
      <c r="AK334">
        <v>0</v>
      </c>
      <c r="AL334">
        <v>0</v>
      </c>
      <c r="AM334">
        <v>0</v>
      </c>
      <c r="AN334" t="s">
        <v>181</v>
      </c>
      <c r="AO334" t="s">
        <v>107</v>
      </c>
      <c r="AP334" t="s">
        <v>99</v>
      </c>
      <c r="AQ334" t="s">
        <v>72</v>
      </c>
      <c r="AR334" t="s">
        <v>72</v>
      </c>
      <c r="AS334" t="s">
        <v>72</v>
      </c>
      <c r="AT334" t="s">
        <v>1111</v>
      </c>
      <c r="AU334" t="s">
        <v>72</v>
      </c>
      <c r="AV334" t="s">
        <v>72</v>
      </c>
      <c r="AW334" t="s">
        <v>72</v>
      </c>
      <c r="AX334" t="s">
        <v>72</v>
      </c>
      <c r="AY334">
        <v>36.315300000000001</v>
      </c>
      <c r="AZ334">
        <v>237</v>
      </c>
      <c r="BA334">
        <v>-1.92</v>
      </c>
      <c r="BB334">
        <v>682.1740112</v>
      </c>
      <c r="BC334">
        <v>-0.119903</v>
      </c>
      <c r="BD334">
        <v>0.158077</v>
      </c>
      <c r="BE334">
        <v>1844.7600098</v>
      </c>
      <c r="BF334">
        <v>5.5018501000000004</v>
      </c>
      <c r="BG334">
        <v>0.49495099999999997</v>
      </c>
      <c r="BH334">
        <v>2.5058099999999999</v>
      </c>
      <c r="BI334">
        <v>0.12160700000000001</v>
      </c>
      <c r="BJ334">
        <v>780.42498780000005</v>
      </c>
      <c r="BK334">
        <v>4</v>
      </c>
      <c r="BL334">
        <v>0</v>
      </c>
      <c r="BM334">
        <v>7167.3300780999998</v>
      </c>
      <c r="BN334">
        <v>3270.5600586</v>
      </c>
      <c r="BO334">
        <v>345.01800539999999</v>
      </c>
      <c r="BP334">
        <v>878</v>
      </c>
      <c r="BQ334">
        <v>6</v>
      </c>
      <c r="BR334">
        <v>3</v>
      </c>
    </row>
    <row r="335" spans="1:70" x14ac:dyDescent="0.25">
      <c r="A335">
        <v>332</v>
      </c>
      <c r="B335">
        <v>10328</v>
      </c>
      <c r="C335">
        <v>88.499224999999896</v>
      </c>
      <c r="D335">
        <v>27.120920000000002</v>
      </c>
      <c r="E335" t="s">
        <v>1112</v>
      </c>
      <c r="F335">
        <v>1</v>
      </c>
      <c r="G335" t="s">
        <v>87</v>
      </c>
      <c r="H335" t="s">
        <v>72</v>
      </c>
      <c r="I335" t="s">
        <v>72</v>
      </c>
      <c r="J335" t="s">
        <v>88</v>
      </c>
      <c r="K335">
        <v>30</v>
      </c>
      <c r="L335">
        <v>150</v>
      </c>
      <c r="M335">
        <v>20</v>
      </c>
      <c r="N335">
        <v>4500</v>
      </c>
      <c r="O335" t="s">
        <v>89</v>
      </c>
      <c r="P335" t="s">
        <v>72</v>
      </c>
      <c r="Q335">
        <v>4500</v>
      </c>
      <c r="R335" t="s">
        <v>72</v>
      </c>
      <c r="S335" t="s">
        <v>73</v>
      </c>
      <c r="T335" t="s">
        <v>74</v>
      </c>
      <c r="U335" t="s">
        <v>90</v>
      </c>
      <c r="V335" t="s">
        <v>1113</v>
      </c>
      <c r="W335" t="s">
        <v>76</v>
      </c>
      <c r="X335" t="s">
        <v>119</v>
      </c>
      <c r="Y335">
        <v>2007</v>
      </c>
      <c r="Z335" t="s">
        <v>72</v>
      </c>
      <c r="AA335" t="s">
        <v>72</v>
      </c>
      <c r="AB335" t="s">
        <v>72</v>
      </c>
      <c r="AC335" t="s">
        <v>72</v>
      </c>
      <c r="AD335" t="s">
        <v>1114</v>
      </c>
      <c r="AE335">
        <v>0</v>
      </c>
      <c r="AF335" t="s">
        <v>148</v>
      </c>
      <c r="AG335" t="s">
        <v>94</v>
      </c>
      <c r="AH335" t="s">
        <v>95</v>
      </c>
      <c r="AI335" t="s">
        <v>121</v>
      </c>
      <c r="AJ335" t="s">
        <v>97</v>
      </c>
      <c r="AK335">
        <v>0</v>
      </c>
      <c r="AL335">
        <v>0</v>
      </c>
      <c r="AM335">
        <v>0</v>
      </c>
      <c r="AN335" t="s">
        <v>98</v>
      </c>
      <c r="AO335" t="s">
        <v>72</v>
      </c>
      <c r="AP335" t="s">
        <v>99</v>
      </c>
      <c r="AQ335" t="s">
        <v>72</v>
      </c>
      <c r="AR335" t="s">
        <v>72</v>
      </c>
      <c r="AS335" t="s">
        <v>72</v>
      </c>
      <c r="AT335" t="s">
        <v>140</v>
      </c>
      <c r="AU335" t="s">
        <v>72</v>
      </c>
      <c r="AV335" t="s">
        <v>142</v>
      </c>
      <c r="AW335" t="s">
        <v>72</v>
      </c>
      <c r="AX335" t="s">
        <v>72</v>
      </c>
      <c r="AY335">
        <v>28.303199800000002</v>
      </c>
      <c r="AZ335">
        <v>241</v>
      </c>
      <c r="BA335">
        <v>1.28</v>
      </c>
      <c r="BB335">
        <v>378.15499879999999</v>
      </c>
      <c r="BC335">
        <v>-0.11010499999999999</v>
      </c>
      <c r="BD335">
        <v>0.16594700000000001</v>
      </c>
      <c r="BE335">
        <v>225.3470001</v>
      </c>
      <c r="BF335">
        <v>6.9948100999999996</v>
      </c>
      <c r="BG335">
        <v>0.608186</v>
      </c>
      <c r="BH335">
        <v>3.2115800000000001</v>
      </c>
      <c r="BI335">
        <v>1.1205699</v>
      </c>
      <c r="BJ335">
        <v>397.256012</v>
      </c>
      <c r="BK335">
        <v>4</v>
      </c>
      <c r="BL335">
        <v>0</v>
      </c>
      <c r="BM335">
        <v>7873.2998047000001</v>
      </c>
      <c r="BN335">
        <v>2437.7900390999998</v>
      </c>
      <c r="BO335">
        <v>328.67099000000002</v>
      </c>
      <c r="BP335">
        <v>390</v>
      </c>
      <c r="BQ335">
        <v>6</v>
      </c>
      <c r="BR335">
        <v>3</v>
      </c>
    </row>
    <row r="336" spans="1:70" x14ac:dyDescent="0.25">
      <c r="A336">
        <v>333</v>
      </c>
      <c r="B336">
        <v>10343</v>
      </c>
      <c r="C336">
        <v>88.499189000000001</v>
      </c>
      <c r="D336">
        <v>27.120961000000001</v>
      </c>
      <c r="E336" t="s">
        <v>1115</v>
      </c>
      <c r="F336">
        <v>10</v>
      </c>
      <c r="G336" t="s">
        <v>102</v>
      </c>
      <c r="H336" t="s">
        <v>72</v>
      </c>
      <c r="I336" t="s">
        <v>72</v>
      </c>
      <c r="J336" t="s">
        <v>88</v>
      </c>
      <c r="K336">
        <v>30</v>
      </c>
      <c r="L336">
        <v>50</v>
      </c>
      <c r="M336">
        <v>20</v>
      </c>
      <c r="N336">
        <v>1500</v>
      </c>
      <c r="O336" t="s">
        <v>89</v>
      </c>
      <c r="P336" t="s">
        <v>72</v>
      </c>
      <c r="Q336">
        <v>15000</v>
      </c>
      <c r="R336" t="s">
        <v>72</v>
      </c>
      <c r="S336" t="s">
        <v>73</v>
      </c>
      <c r="T336" t="s">
        <v>74</v>
      </c>
      <c r="U336" t="s">
        <v>90</v>
      </c>
      <c r="V336" t="s">
        <v>1116</v>
      </c>
      <c r="W336" t="s">
        <v>76</v>
      </c>
      <c r="X336" t="s">
        <v>77</v>
      </c>
      <c r="Y336">
        <v>2015</v>
      </c>
      <c r="Z336" t="s">
        <v>72</v>
      </c>
      <c r="AA336" t="s">
        <v>72</v>
      </c>
      <c r="AB336" t="s">
        <v>72</v>
      </c>
      <c r="AC336" t="s">
        <v>72</v>
      </c>
      <c r="AD336" t="s">
        <v>1117</v>
      </c>
      <c r="AE336">
        <v>0</v>
      </c>
      <c r="AF336" t="s">
        <v>79</v>
      </c>
      <c r="AG336" t="s">
        <v>94</v>
      </c>
      <c r="AH336" t="s">
        <v>95</v>
      </c>
      <c r="AI336" t="s">
        <v>96</v>
      </c>
      <c r="AJ336" t="s">
        <v>97</v>
      </c>
      <c r="AK336">
        <v>2016</v>
      </c>
      <c r="AL336">
        <v>0</v>
      </c>
      <c r="AM336">
        <v>0</v>
      </c>
      <c r="AN336" t="s">
        <v>72</v>
      </c>
      <c r="AO336" t="s">
        <v>72</v>
      </c>
      <c r="AP336" t="s">
        <v>72</v>
      </c>
      <c r="AQ336" t="s">
        <v>72</v>
      </c>
      <c r="AR336" t="s">
        <v>72</v>
      </c>
      <c r="AS336" t="s">
        <v>72</v>
      </c>
      <c r="AT336" t="s">
        <v>72</v>
      </c>
      <c r="AU336" t="s">
        <v>72</v>
      </c>
      <c r="AV336" t="s">
        <v>72</v>
      </c>
      <c r="AW336" t="s">
        <v>72</v>
      </c>
      <c r="AX336" t="s">
        <v>72</v>
      </c>
      <c r="AY336">
        <v>28.303199800000002</v>
      </c>
      <c r="AZ336">
        <v>241</v>
      </c>
      <c r="BA336">
        <v>1.28</v>
      </c>
      <c r="BB336">
        <v>378.15499879999999</v>
      </c>
      <c r="BC336">
        <v>-0.11010499999999999</v>
      </c>
      <c r="BD336">
        <v>0.16594700000000001</v>
      </c>
      <c r="BE336">
        <v>225.3470001</v>
      </c>
      <c r="BF336">
        <v>6.9948100999999996</v>
      </c>
      <c r="BG336">
        <v>0.608186</v>
      </c>
      <c r="BH336">
        <v>3.2115800000000001</v>
      </c>
      <c r="BI336">
        <v>1.1205699</v>
      </c>
      <c r="BJ336">
        <v>397.256012</v>
      </c>
      <c r="BK336">
        <v>4</v>
      </c>
      <c r="BL336">
        <v>0</v>
      </c>
      <c r="BM336">
        <v>7873.2998047000001</v>
      </c>
      <c r="BN336">
        <v>2437.7900390999998</v>
      </c>
      <c r="BO336">
        <v>328.67099000000002</v>
      </c>
      <c r="BP336">
        <v>390</v>
      </c>
      <c r="BQ336">
        <v>6</v>
      </c>
      <c r="BR336">
        <v>3</v>
      </c>
    </row>
    <row r="337" spans="1:70" x14ac:dyDescent="0.25">
      <c r="A337">
        <v>334</v>
      </c>
      <c r="B337">
        <v>236</v>
      </c>
      <c r="C337">
        <v>88.495999999999896</v>
      </c>
      <c r="D337">
        <v>27.122</v>
      </c>
      <c r="E337" t="s">
        <v>1118</v>
      </c>
      <c r="F337">
        <v>0.5</v>
      </c>
      <c r="G337" t="s">
        <v>1119</v>
      </c>
      <c r="H337" t="s">
        <v>72</v>
      </c>
      <c r="I337" t="s">
        <v>72</v>
      </c>
      <c r="J337" t="s">
        <v>72</v>
      </c>
      <c r="K337">
        <v>20</v>
      </c>
      <c r="L337">
        <v>150</v>
      </c>
      <c r="M337">
        <v>20</v>
      </c>
      <c r="N337">
        <v>0</v>
      </c>
      <c r="O337" t="s">
        <v>72</v>
      </c>
      <c r="P337" t="s">
        <v>1120</v>
      </c>
      <c r="Q337">
        <v>0</v>
      </c>
      <c r="R337" t="s">
        <v>72</v>
      </c>
      <c r="S337" t="s">
        <v>73</v>
      </c>
      <c r="T337" t="s">
        <v>74</v>
      </c>
      <c r="U337" t="s">
        <v>90</v>
      </c>
      <c r="V337" t="s">
        <v>72</v>
      </c>
      <c r="W337" t="s">
        <v>76</v>
      </c>
      <c r="X337" t="s">
        <v>119</v>
      </c>
      <c r="Y337">
        <v>0</v>
      </c>
      <c r="Z337" t="s">
        <v>72</v>
      </c>
      <c r="AA337" t="s">
        <v>72</v>
      </c>
      <c r="AB337" t="s">
        <v>72</v>
      </c>
      <c r="AC337" t="s">
        <v>72</v>
      </c>
      <c r="AD337" t="s">
        <v>1121</v>
      </c>
      <c r="AE337">
        <v>0</v>
      </c>
      <c r="AF337" t="s">
        <v>148</v>
      </c>
      <c r="AG337" t="s">
        <v>94</v>
      </c>
      <c r="AH337" t="s">
        <v>72</v>
      </c>
      <c r="AI337" t="s">
        <v>121</v>
      </c>
      <c r="AJ337" t="s">
        <v>97</v>
      </c>
      <c r="AK337">
        <v>0</v>
      </c>
      <c r="AL337">
        <v>0</v>
      </c>
      <c r="AM337">
        <v>0</v>
      </c>
      <c r="AN337" t="s">
        <v>72</v>
      </c>
      <c r="AO337" t="s">
        <v>72</v>
      </c>
      <c r="AP337" t="s">
        <v>72</v>
      </c>
      <c r="AQ337" t="s">
        <v>72</v>
      </c>
      <c r="AR337" t="s">
        <v>72</v>
      </c>
      <c r="AS337" t="s">
        <v>72</v>
      </c>
      <c r="AT337" t="s">
        <v>72</v>
      </c>
      <c r="AU337" t="s">
        <v>72</v>
      </c>
      <c r="AV337" t="s">
        <v>1122</v>
      </c>
      <c r="AW337" t="s">
        <v>72</v>
      </c>
      <c r="AX337" t="s">
        <v>1064</v>
      </c>
      <c r="AY337">
        <v>25.178499200000001</v>
      </c>
      <c r="AZ337">
        <v>234</v>
      </c>
      <c r="BA337">
        <v>1.28</v>
      </c>
      <c r="BB337">
        <v>405.618988</v>
      </c>
      <c r="BC337">
        <v>-0.115055</v>
      </c>
      <c r="BD337">
        <v>0.163193</v>
      </c>
      <c r="BE337">
        <v>27.9507999</v>
      </c>
      <c r="BF337">
        <v>3.2805300000000002</v>
      </c>
      <c r="BG337">
        <v>0.49629699999999999</v>
      </c>
      <c r="BH337">
        <v>-7.6604299999999999</v>
      </c>
      <c r="BI337">
        <v>1.2055100000000001</v>
      </c>
      <c r="BJ337">
        <v>137.5</v>
      </c>
      <c r="BK337">
        <v>4</v>
      </c>
      <c r="BL337">
        <v>0</v>
      </c>
      <c r="BM337">
        <v>7679.6098633000001</v>
      </c>
      <c r="BN337">
        <v>2573.9099120999999</v>
      </c>
      <c r="BO337">
        <v>336.16101070000002</v>
      </c>
      <c r="BP337">
        <v>257</v>
      </c>
      <c r="BQ337">
        <v>6</v>
      </c>
      <c r="BR337">
        <v>3</v>
      </c>
    </row>
    <row r="338" spans="1:70" x14ac:dyDescent="0.25">
      <c r="A338">
        <v>335</v>
      </c>
      <c r="B338">
        <v>10885</v>
      </c>
      <c r="C338">
        <v>88.501597000000004</v>
      </c>
      <c r="D338">
        <v>27.122285000000002</v>
      </c>
      <c r="E338" t="s">
        <v>1123</v>
      </c>
      <c r="F338">
        <v>1</v>
      </c>
      <c r="G338" t="s">
        <v>102</v>
      </c>
      <c r="H338" t="s">
        <v>72</v>
      </c>
      <c r="I338" t="s">
        <v>72</v>
      </c>
      <c r="J338" t="s">
        <v>88</v>
      </c>
      <c r="K338">
        <v>30</v>
      </c>
      <c r="L338">
        <v>20</v>
      </c>
      <c r="M338">
        <v>25</v>
      </c>
      <c r="N338">
        <v>600</v>
      </c>
      <c r="O338" t="s">
        <v>89</v>
      </c>
      <c r="P338" t="s">
        <v>72</v>
      </c>
      <c r="Q338">
        <v>600</v>
      </c>
      <c r="R338" t="s">
        <v>72</v>
      </c>
      <c r="S338" t="s">
        <v>73</v>
      </c>
      <c r="T338" t="s">
        <v>74</v>
      </c>
      <c r="U338" t="s">
        <v>776</v>
      </c>
      <c r="V338" t="s">
        <v>1124</v>
      </c>
      <c r="W338" t="s">
        <v>76</v>
      </c>
      <c r="X338" t="s">
        <v>77</v>
      </c>
      <c r="Y338">
        <v>2010</v>
      </c>
      <c r="Z338" t="s">
        <v>72</v>
      </c>
      <c r="AA338" t="s">
        <v>72</v>
      </c>
      <c r="AB338" t="s">
        <v>72</v>
      </c>
      <c r="AC338" t="s">
        <v>72</v>
      </c>
      <c r="AD338" t="s">
        <v>93</v>
      </c>
      <c r="AE338">
        <v>0</v>
      </c>
      <c r="AF338" t="s">
        <v>148</v>
      </c>
      <c r="AG338" t="s">
        <v>94</v>
      </c>
      <c r="AH338" t="s">
        <v>95</v>
      </c>
      <c r="AI338" t="s">
        <v>96</v>
      </c>
      <c r="AJ338" t="s">
        <v>97</v>
      </c>
      <c r="AK338">
        <v>0</v>
      </c>
      <c r="AL338">
        <v>0</v>
      </c>
      <c r="AM338">
        <v>0</v>
      </c>
      <c r="AN338" t="s">
        <v>98</v>
      </c>
      <c r="AO338" t="s">
        <v>72</v>
      </c>
      <c r="AP338" t="s">
        <v>99</v>
      </c>
      <c r="AQ338" t="s">
        <v>72</v>
      </c>
      <c r="AR338" t="s">
        <v>72</v>
      </c>
      <c r="AS338" t="s">
        <v>72</v>
      </c>
      <c r="AT338" t="s">
        <v>72</v>
      </c>
      <c r="AU338" t="s">
        <v>72</v>
      </c>
      <c r="AV338" t="s">
        <v>72</v>
      </c>
      <c r="AW338" t="s">
        <v>72</v>
      </c>
      <c r="AX338" t="s">
        <v>72</v>
      </c>
      <c r="AY338">
        <v>27.212200200000002</v>
      </c>
      <c r="AZ338">
        <v>230</v>
      </c>
      <c r="BA338">
        <v>2.5599999000000002</v>
      </c>
      <c r="BB338">
        <v>356.34899899999999</v>
      </c>
      <c r="BC338">
        <v>-0.118884</v>
      </c>
      <c r="BD338">
        <v>0.15151500000000001</v>
      </c>
      <c r="BE338">
        <v>256.47900390000001</v>
      </c>
      <c r="BF338">
        <v>3.1908699999999999</v>
      </c>
      <c r="BG338">
        <v>0.56862699999999999</v>
      </c>
      <c r="BH338">
        <v>-7.5709600000000004</v>
      </c>
      <c r="BI338">
        <v>1.21759</v>
      </c>
      <c r="BJ338">
        <v>267.51199339999999</v>
      </c>
      <c r="BK338">
        <v>4</v>
      </c>
      <c r="BL338">
        <v>0</v>
      </c>
      <c r="BM338">
        <v>8154.1401366999999</v>
      </c>
      <c r="BN338">
        <v>2595.2199707</v>
      </c>
      <c r="BO338">
        <v>346.50399779999998</v>
      </c>
      <c r="BP338">
        <v>441</v>
      </c>
      <c r="BQ338">
        <v>6</v>
      </c>
      <c r="BR33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96E6-EB7D-498D-A043-D5179F604AB2}">
  <dimension ref="A1:H338"/>
  <sheetViews>
    <sheetView topLeftCell="A302" workbookViewId="0">
      <selection activeCell="G331" sqref="G331:G336"/>
    </sheetView>
  </sheetViews>
  <sheetFormatPr defaultRowHeight="15" x14ac:dyDescent="0.25"/>
  <cols>
    <col min="2" max="3" width="11.140625" bestFit="1" customWidth="1"/>
    <col min="4" max="4" width="27.5703125" bestFit="1" customWidth="1"/>
    <col min="5" max="5" width="15.5703125" bestFit="1" customWidth="1"/>
    <col min="6" max="6" width="13.7109375" bestFit="1" customWidth="1"/>
    <col min="7" max="7" width="13.85546875" bestFit="1" customWidth="1"/>
    <col min="8" max="8" width="26.42578125" bestFit="1" customWidth="1"/>
  </cols>
  <sheetData>
    <row r="1" spans="1:8" x14ac:dyDescent="0.25">
      <c r="A1" t="s">
        <v>1</v>
      </c>
      <c r="B1" t="s">
        <v>3</v>
      </c>
      <c r="C1" t="s">
        <v>4</v>
      </c>
      <c r="D1" t="s">
        <v>15</v>
      </c>
      <c r="E1" t="s">
        <v>32</v>
      </c>
      <c r="F1" t="s">
        <v>33</v>
      </c>
      <c r="G1" t="s">
        <v>34</v>
      </c>
      <c r="H1" t="s">
        <v>36</v>
      </c>
    </row>
    <row r="2" spans="1:8" x14ac:dyDescent="0.25">
      <c r="A2" s="1"/>
      <c r="B2" t="s">
        <v>79</v>
      </c>
      <c r="C2" t="s">
        <v>128</v>
      </c>
      <c r="D2" t="s">
        <v>72</v>
      </c>
      <c r="E2">
        <v>1.2990699999999999</v>
      </c>
      <c r="F2">
        <v>50</v>
      </c>
      <c r="G2">
        <v>7</v>
      </c>
      <c r="H2">
        <v>353.55300899999997</v>
      </c>
    </row>
    <row r="3" spans="1:8" x14ac:dyDescent="0.25">
      <c r="A3">
        <v>0</v>
      </c>
      <c r="B3">
        <v>88.433694000000003</v>
      </c>
      <c r="C3">
        <v>27.023444000000001</v>
      </c>
      <c r="D3" t="s">
        <v>72</v>
      </c>
      <c r="E3" t="s">
        <v>79</v>
      </c>
      <c r="F3" t="s">
        <v>72</v>
      </c>
      <c r="G3" t="s">
        <v>72</v>
      </c>
      <c r="H3" t="s">
        <v>72</v>
      </c>
    </row>
    <row r="4" spans="1:8" x14ac:dyDescent="0.25">
      <c r="A4">
        <v>3</v>
      </c>
      <c r="B4">
        <v>88.433999999999898</v>
      </c>
      <c r="C4">
        <v>27.024000000000001</v>
      </c>
      <c r="D4" t="s">
        <v>105</v>
      </c>
      <c r="E4" t="s">
        <v>79</v>
      </c>
      <c r="F4" t="s">
        <v>94</v>
      </c>
      <c r="G4" t="s">
        <v>72</v>
      </c>
      <c r="H4" t="s">
        <v>72</v>
      </c>
    </row>
    <row r="5" spans="1:8" x14ac:dyDescent="0.25">
      <c r="A5">
        <v>8</v>
      </c>
      <c r="B5">
        <v>88.427000000000007</v>
      </c>
      <c r="C5">
        <v>27.029</v>
      </c>
      <c r="D5" t="s">
        <v>105</v>
      </c>
      <c r="E5" t="s">
        <v>79</v>
      </c>
      <c r="F5" t="s">
        <v>94</v>
      </c>
      <c r="G5" t="s">
        <v>72</v>
      </c>
      <c r="H5" t="s">
        <v>72</v>
      </c>
    </row>
    <row r="6" spans="1:8" x14ac:dyDescent="0.25">
      <c r="A6">
        <v>25</v>
      </c>
      <c r="B6">
        <v>88.439999999999898</v>
      </c>
      <c r="C6">
        <v>27.0489999999999</v>
      </c>
      <c r="D6" t="s">
        <v>72</v>
      </c>
      <c r="E6" t="s">
        <v>79</v>
      </c>
      <c r="F6" t="s">
        <v>94</v>
      </c>
      <c r="G6" t="s">
        <v>72</v>
      </c>
      <c r="H6" t="s">
        <v>72</v>
      </c>
    </row>
    <row r="7" spans="1:8" x14ac:dyDescent="0.25">
      <c r="A7">
        <v>49</v>
      </c>
      <c r="B7">
        <v>88.441000000000003</v>
      </c>
      <c r="C7">
        <v>27.004000000000001</v>
      </c>
      <c r="D7" t="s">
        <v>89</v>
      </c>
      <c r="E7" t="s">
        <v>79</v>
      </c>
      <c r="F7" t="s">
        <v>94</v>
      </c>
      <c r="G7" t="s">
        <v>72</v>
      </c>
      <c r="H7" t="s">
        <v>72</v>
      </c>
    </row>
    <row r="8" spans="1:8" x14ac:dyDescent="0.25">
      <c r="A8">
        <v>56</v>
      </c>
      <c r="B8">
        <v>88.435972000000007</v>
      </c>
      <c r="C8">
        <v>27.0139999999999</v>
      </c>
      <c r="D8" t="s">
        <v>89</v>
      </c>
      <c r="E8" t="s">
        <v>79</v>
      </c>
      <c r="F8" t="s">
        <v>94</v>
      </c>
      <c r="G8" t="s">
        <v>72</v>
      </c>
      <c r="H8" t="s">
        <v>72</v>
      </c>
    </row>
    <row r="9" spans="1:8" x14ac:dyDescent="0.25">
      <c r="A9">
        <v>57</v>
      </c>
      <c r="B9">
        <v>88.435972000000007</v>
      </c>
      <c r="C9">
        <v>27.0139999999999</v>
      </c>
      <c r="D9" t="s">
        <v>72</v>
      </c>
      <c r="E9" t="s">
        <v>79</v>
      </c>
      <c r="F9" t="s">
        <v>72</v>
      </c>
      <c r="G9" t="s">
        <v>72</v>
      </c>
      <c r="H9" t="s">
        <v>72</v>
      </c>
    </row>
    <row r="10" spans="1:8" x14ac:dyDescent="0.25">
      <c r="A10">
        <v>62</v>
      </c>
      <c r="B10">
        <v>88.445999999999898</v>
      </c>
      <c r="C10">
        <v>27.021000000000001</v>
      </c>
      <c r="D10" t="s">
        <v>72</v>
      </c>
      <c r="E10" t="s">
        <v>186</v>
      </c>
      <c r="F10" t="s">
        <v>94</v>
      </c>
      <c r="G10" t="s">
        <v>72</v>
      </c>
      <c r="H10" t="s">
        <v>72</v>
      </c>
    </row>
    <row r="11" spans="1:8" x14ac:dyDescent="0.25">
      <c r="A11">
        <v>150</v>
      </c>
      <c r="B11">
        <v>88.456000000000003</v>
      </c>
      <c r="C11">
        <v>27.0719999999999</v>
      </c>
      <c r="D11" t="s">
        <v>72</v>
      </c>
      <c r="E11" t="s">
        <v>79</v>
      </c>
      <c r="F11" t="s">
        <v>94</v>
      </c>
      <c r="G11" t="s">
        <v>72</v>
      </c>
      <c r="H11" t="s">
        <v>72</v>
      </c>
    </row>
    <row r="12" spans="1:8" x14ac:dyDescent="0.25">
      <c r="A12">
        <v>159</v>
      </c>
      <c r="B12">
        <v>88.463999999999899</v>
      </c>
      <c r="C12">
        <v>27.082000000000001</v>
      </c>
      <c r="D12" t="s">
        <v>72</v>
      </c>
      <c r="E12" t="s">
        <v>186</v>
      </c>
      <c r="F12" t="s">
        <v>133</v>
      </c>
      <c r="G12" t="s">
        <v>72</v>
      </c>
      <c r="H12" t="s">
        <v>72</v>
      </c>
    </row>
    <row r="13" spans="1:8" x14ac:dyDescent="0.25">
      <c r="A13">
        <v>165</v>
      </c>
      <c r="B13">
        <v>88.459000000000003</v>
      </c>
      <c r="C13">
        <v>27.088000000000001</v>
      </c>
      <c r="D13" t="s">
        <v>72</v>
      </c>
      <c r="E13" t="s">
        <v>79</v>
      </c>
      <c r="F13" t="s">
        <v>94</v>
      </c>
      <c r="G13" t="s">
        <v>72</v>
      </c>
      <c r="H13" t="s">
        <v>72</v>
      </c>
    </row>
    <row r="14" spans="1:8" x14ac:dyDescent="0.25">
      <c r="A14">
        <v>189</v>
      </c>
      <c r="B14">
        <v>88.432000000000002</v>
      </c>
      <c r="C14">
        <v>27.076000000000001</v>
      </c>
      <c r="D14" t="s">
        <v>105</v>
      </c>
      <c r="E14" t="s">
        <v>79</v>
      </c>
      <c r="F14" t="s">
        <v>94</v>
      </c>
      <c r="G14" t="s">
        <v>72</v>
      </c>
      <c r="H14" t="s">
        <v>72</v>
      </c>
    </row>
    <row r="15" spans="1:8" x14ac:dyDescent="0.25">
      <c r="A15">
        <v>191</v>
      </c>
      <c r="B15">
        <v>88.430999999999898</v>
      </c>
      <c r="C15">
        <v>27.053000000000001</v>
      </c>
      <c r="D15" t="s">
        <v>72</v>
      </c>
      <c r="E15" t="s">
        <v>186</v>
      </c>
      <c r="F15" t="s">
        <v>94</v>
      </c>
      <c r="G15" t="s">
        <v>72</v>
      </c>
      <c r="H15" t="s">
        <v>72</v>
      </c>
    </row>
    <row r="16" spans="1:8" x14ac:dyDescent="0.25">
      <c r="A16">
        <v>209</v>
      </c>
      <c r="B16">
        <v>88.445999999999898</v>
      </c>
      <c r="C16">
        <v>27.082000000000001</v>
      </c>
      <c r="D16" t="s">
        <v>105</v>
      </c>
      <c r="E16" t="s">
        <v>79</v>
      </c>
      <c r="F16" t="s">
        <v>94</v>
      </c>
      <c r="G16" t="s">
        <v>72</v>
      </c>
      <c r="H16" t="s">
        <v>72</v>
      </c>
    </row>
    <row r="17" spans="1:8" x14ac:dyDescent="0.25">
      <c r="A17">
        <v>217</v>
      </c>
      <c r="B17">
        <v>88.451999999999899</v>
      </c>
      <c r="C17">
        <v>27.071000000000002</v>
      </c>
      <c r="D17" t="s">
        <v>72</v>
      </c>
      <c r="E17" t="s">
        <v>79</v>
      </c>
      <c r="F17" t="s">
        <v>128</v>
      </c>
      <c r="G17" t="s">
        <v>72</v>
      </c>
      <c r="H17" t="s">
        <v>72</v>
      </c>
    </row>
    <row r="18" spans="1:8" x14ac:dyDescent="0.25">
      <c r="A18">
        <v>250</v>
      </c>
      <c r="B18">
        <v>88.477000000000004</v>
      </c>
      <c r="C18">
        <v>27.096</v>
      </c>
      <c r="D18" t="s">
        <v>72</v>
      </c>
      <c r="E18" t="s">
        <v>148</v>
      </c>
      <c r="F18" t="s">
        <v>94</v>
      </c>
      <c r="G18" t="s">
        <v>72</v>
      </c>
      <c r="H18" t="s">
        <v>72</v>
      </c>
    </row>
    <row r="19" spans="1:8" x14ac:dyDescent="0.25">
      <c r="A19">
        <v>257</v>
      </c>
      <c r="B19">
        <v>88.471000000000004</v>
      </c>
      <c r="C19">
        <v>27.102</v>
      </c>
      <c r="D19" t="s">
        <v>72</v>
      </c>
      <c r="E19" t="s">
        <v>79</v>
      </c>
      <c r="F19" t="s">
        <v>94</v>
      </c>
      <c r="G19" t="s">
        <v>72</v>
      </c>
      <c r="H19" t="s">
        <v>72</v>
      </c>
    </row>
    <row r="20" spans="1:8" x14ac:dyDescent="0.25">
      <c r="A20">
        <v>261</v>
      </c>
      <c r="B20">
        <v>88.474999999999895</v>
      </c>
      <c r="C20">
        <v>27.088000000000001</v>
      </c>
      <c r="D20" t="s">
        <v>72</v>
      </c>
      <c r="E20" t="s">
        <v>79</v>
      </c>
      <c r="F20" t="s">
        <v>94</v>
      </c>
      <c r="G20" t="s">
        <v>72</v>
      </c>
      <c r="H20" t="s">
        <v>72</v>
      </c>
    </row>
    <row r="21" spans="1:8" x14ac:dyDescent="0.25">
      <c r="A21">
        <v>262</v>
      </c>
      <c r="B21">
        <v>88.4759999999999</v>
      </c>
      <c r="C21">
        <v>27.088999999999899</v>
      </c>
      <c r="D21" t="s">
        <v>72</v>
      </c>
      <c r="E21" t="s">
        <v>79</v>
      </c>
      <c r="F21" t="s">
        <v>128</v>
      </c>
      <c r="G21" t="s">
        <v>72</v>
      </c>
      <c r="H21" t="s">
        <v>72</v>
      </c>
    </row>
    <row r="22" spans="1:8" x14ac:dyDescent="0.25">
      <c r="A22">
        <v>265</v>
      </c>
      <c r="B22">
        <v>88.486000000000004</v>
      </c>
      <c r="C22">
        <v>27.09</v>
      </c>
      <c r="D22" t="s">
        <v>72</v>
      </c>
      <c r="E22" t="s">
        <v>148</v>
      </c>
      <c r="F22" t="s">
        <v>94</v>
      </c>
      <c r="G22" t="s">
        <v>72</v>
      </c>
      <c r="H22" t="s">
        <v>72</v>
      </c>
    </row>
    <row r="23" spans="1:8" x14ac:dyDescent="0.25">
      <c r="A23">
        <v>316</v>
      </c>
      <c r="B23">
        <v>88.486000000000004</v>
      </c>
      <c r="C23">
        <v>27.12</v>
      </c>
      <c r="D23" t="s">
        <v>72</v>
      </c>
      <c r="E23" t="s">
        <v>148</v>
      </c>
      <c r="F23" t="s">
        <v>94</v>
      </c>
      <c r="G23" t="s">
        <v>72</v>
      </c>
      <c r="H23" t="s">
        <v>72</v>
      </c>
    </row>
    <row r="24" spans="1:8" x14ac:dyDescent="0.25">
      <c r="A24">
        <v>318</v>
      </c>
      <c r="B24">
        <v>88.486999999999895</v>
      </c>
      <c r="C24">
        <v>27.120999999999899</v>
      </c>
      <c r="D24" t="s">
        <v>72</v>
      </c>
      <c r="E24" t="s">
        <v>79</v>
      </c>
      <c r="F24" t="s">
        <v>94</v>
      </c>
      <c r="G24" t="s">
        <v>72</v>
      </c>
      <c r="H24" t="s">
        <v>72</v>
      </c>
    </row>
    <row r="25" spans="1:8" x14ac:dyDescent="0.25">
      <c r="A25">
        <v>7</v>
      </c>
      <c r="B25">
        <v>88.432000000000002</v>
      </c>
      <c r="C25">
        <v>27.027999999999899</v>
      </c>
      <c r="D25" t="s">
        <v>89</v>
      </c>
      <c r="E25" t="s">
        <v>79</v>
      </c>
      <c r="F25" t="s">
        <v>94</v>
      </c>
      <c r="G25" t="s">
        <v>72</v>
      </c>
      <c r="H25" t="s">
        <v>113</v>
      </c>
    </row>
    <row r="26" spans="1:8" x14ac:dyDescent="0.25">
      <c r="A26">
        <v>207</v>
      </c>
      <c r="B26">
        <v>88.444000000000003</v>
      </c>
      <c r="C26">
        <v>27.0612999999999</v>
      </c>
      <c r="D26" t="s">
        <v>775</v>
      </c>
      <c r="E26" t="s">
        <v>79</v>
      </c>
      <c r="F26" t="s">
        <v>128</v>
      </c>
      <c r="G26" t="s">
        <v>72</v>
      </c>
      <c r="H26" t="s">
        <v>113</v>
      </c>
    </row>
    <row r="27" spans="1:8" x14ac:dyDescent="0.25">
      <c r="A27">
        <v>255</v>
      </c>
      <c r="B27">
        <v>88.469999999999899</v>
      </c>
      <c r="C27">
        <v>27.1009999999999</v>
      </c>
      <c r="D27" t="s">
        <v>72</v>
      </c>
      <c r="E27" t="s">
        <v>79</v>
      </c>
      <c r="F27" t="s">
        <v>94</v>
      </c>
      <c r="G27" t="s">
        <v>72</v>
      </c>
      <c r="H27" t="s">
        <v>113</v>
      </c>
    </row>
    <row r="28" spans="1:8" x14ac:dyDescent="0.25">
      <c r="A28">
        <v>313</v>
      </c>
      <c r="B28">
        <v>88.486999999999895</v>
      </c>
      <c r="C28">
        <v>27.119</v>
      </c>
      <c r="D28" t="s">
        <v>72</v>
      </c>
      <c r="E28" t="s">
        <v>79</v>
      </c>
      <c r="F28" t="s">
        <v>94</v>
      </c>
      <c r="G28" t="s">
        <v>72</v>
      </c>
      <c r="H28" t="s">
        <v>113</v>
      </c>
    </row>
    <row r="29" spans="1:8" x14ac:dyDescent="0.25">
      <c r="A29">
        <v>21</v>
      </c>
      <c r="B29">
        <v>88.43</v>
      </c>
      <c r="C29">
        <v>27.045000000000002</v>
      </c>
      <c r="D29" t="s">
        <v>72</v>
      </c>
      <c r="E29" t="s">
        <v>148</v>
      </c>
      <c r="F29" t="s">
        <v>94</v>
      </c>
      <c r="G29" t="s">
        <v>72</v>
      </c>
      <c r="H29" t="s">
        <v>170</v>
      </c>
    </row>
    <row r="30" spans="1:8" x14ac:dyDescent="0.25">
      <c r="A30">
        <v>12</v>
      </c>
      <c r="B30">
        <v>88.43</v>
      </c>
      <c r="C30">
        <v>27.038</v>
      </c>
      <c r="D30" t="s">
        <v>72</v>
      </c>
      <c r="E30" t="s">
        <v>79</v>
      </c>
      <c r="F30" t="s">
        <v>133</v>
      </c>
      <c r="G30" t="s">
        <v>72</v>
      </c>
      <c r="H30" t="s">
        <v>97</v>
      </c>
    </row>
    <row r="31" spans="1:8" x14ac:dyDescent="0.25">
      <c r="A31">
        <v>13</v>
      </c>
      <c r="B31">
        <v>88.43</v>
      </c>
      <c r="C31">
        <v>27.038</v>
      </c>
      <c r="D31" t="s">
        <v>72</v>
      </c>
      <c r="E31" t="s">
        <v>79</v>
      </c>
      <c r="F31" t="s">
        <v>133</v>
      </c>
      <c r="G31" t="s">
        <v>72</v>
      </c>
      <c r="H31" t="s">
        <v>97</v>
      </c>
    </row>
    <row r="32" spans="1:8" x14ac:dyDescent="0.25">
      <c r="A32">
        <v>23</v>
      </c>
      <c r="B32">
        <v>88.429000000000002</v>
      </c>
      <c r="C32">
        <v>27.0459999999999</v>
      </c>
      <c r="D32" t="s">
        <v>72</v>
      </c>
      <c r="E32" t="s">
        <v>148</v>
      </c>
      <c r="F32" t="s">
        <v>94</v>
      </c>
      <c r="G32" t="s">
        <v>72</v>
      </c>
      <c r="H32" t="s">
        <v>97</v>
      </c>
    </row>
    <row r="33" spans="1:8" x14ac:dyDescent="0.25">
      <c r="A33">
        <v>35</v>
      </c>
      <c r="B33">
        <v>88.425944000000001</v>
      </c>
      <c r="C33">
        <v>26.993666999999899</v>
      </c>
      <c r="D33" t="s">
        <v>72</v>
      </c>
      <c r="E33" t="s">
        <v>79</v>
      </c>
      <c r="F33" t="s">
        <v>94</v>
      </c>
      <c r="G33" t="s">
        <v>72</v>
      </c>
      <c r="H33" t="s">
        <v>97</v>
      </c>
    </row>
    <row r="34" spans="1:8" x14ac:dyDescent="0.25">
      <c r="A34">
        <v>36</v>
      </c>
      <c r="B34">
        <v>88.425944000000001</v>
      </c>
      <c r="C34">
        <v>26.993666999999899</v>
      </c>
      <c r="D34" t="s">
        <v>89</v>
      </c>
      <c r="E34" t="s">
        <v>79</v>
      </c>
      <c r="F34" t="s">
        <v>94</v>
      </c>
      <c r="G34" t="s">
        <v>72</v>
      </c>
      <c r="H34" t="s">
        <v>97</v>
      </c>
    </row>
    <row r="35" spans="1:8" x14ac:dyDescent="0.25">
      <c r="A35">
        <v>40</v>
      </c>
      <c r="B35">
        <v>88.427306000000002</v>
      </c>
      <c r="C35">
        <v>26.996666999999899</v>
      </c>
      <c r="D35" t="s">
        <v>89</v>
      </c>
      <c r="E35" t="s">
        <v>148</v>
      </c>
      <c r="F35" t="s">
        <v>94</v>
      </c>
      <c r="G35" t="s">
        <v>72</v>
      </c>
      <c r="H35" t="s">
        <v>97</v>
      </c>
    </row>
    <row r="36" spans="1:8" x14ac:dyDescent="0.25">
      <c r="A36">
        <v>41</v>
      </c>
      <c r="B36">
        <v>88.427306000000002</v>
      </c>
      <c r="C36">
        <v>26.996666999999899</v>
      </c>
      <c r="D36" t="s">
        <v>72</v>
      </c>
      <c r="E36" t="s">
        <v>148</v>
      </c>
      <c r="F36" t="s">
        <v>94</v>
      </c>
      <c r="G36" t="s">
        <v>72</v>
      </c>
      <c r="H36" t="s">
        <v>97</v>
      </c>
    </row>
    <row r="37" spans="1:8" x14ac:dyDescent="0.25">
      <c r="A37">
        <v>43</v>
      </c>
      <c r="B37">
        <v>88.431583000000003</v>
      </c>
      <c r="C37">
        <v>26.998805999999899</v>
      </c>
      <c r="D37" t="s">
        <v>72</v>
      </c>
      <c r="E37" t="s">
        <v>148</v>
      </c>
      <c r="F37" t="s">
        <v>94</v>
      </c>
      <c r="G37" t="s">
        <v>72</v>
      </c>
      <c r="H37" t="s">
        <v>97</v>
      </c>
    </row>
    <row r="38" spans="1:8" x14ac:dyDescent="0.25">
      <c r="A38">
        <v>84</v>
      </c>
      <c r="B38">
        <v>88.441721999999899</v>
      </c>
      <c r="C38">
        <v>26.937888999999899</v>
      </c>
      <c r="D38" t="s">
        <v>72</v>
      </c>
      <c r="E38" t="s">
        <v>148</v>
      </c>
      <c r="F38" t="s">
        <v>94</v>
      </c>
      <c r="G38" t="s">
        <v>72</v>
      </c>
      <c r="H38" t="s">
        <v>97</v>
      </c>
    </row>
    <row r="39" spans="1:8" x14ac:dyDescent="0.25">
      <c r="A39">
        <v>85</v>
      </c>
      <c r="B39">
        <v>88.441721999999899</v>
      </c>
      <c r="C39">
        <v>26.937888999999899</v>
      </c>
      <c r="D39" t="s">
        <v>89</v>
      </c>
      <c r="E39" t="s">
        <v>148</v>
      </c>
      <c r="F39" t="s">
        <v>94</v>
      </c>
      <c r="G39" t="s">
        <v>72</v>
      </c>
      <c r="H39" t="s">
        <v>97</v>
      </c>
    </row>
    <row r="40" spans="1:8" x14ac:dyDescent="0.25">
      <c r="A40">
        <v>86</v>
      </c>
      <c r="B40">
        <v>88.441721999999899</v>
      </c>
      <c r="C40">
        <v>26.937888999999899</v>
      </c>
      <c r="D40" t="s">
        <v>89</v>
      </c>
      <c r="E40" t="s">
        <v>148</v>
      </c>
      <c r="F40" t="s">
        <v>94</v>
      </c>
      <c r="G40" t="s">
        <v>72</v>
      </c>
      <c r="H40" t="s">
        <v>97</v>
      </c>
    </row>
    <row r="41" spans="1:8" x14ac:dyDescent="0.25">
      <c r="A41">
        <v>147</v>
      </c>
      <c r="B41">
        <v>88.465000000000003</v>
      </c>
      <c r="C41">
        <v>27.094000000000001</v>
      </c>
      <c r="D41" t="s">
        <v>72</v>
      </c>
      <c r="E41" t="s">
        <v>148</v>
      </c>
      <c r="F41" t="s">
        <v>94</v>
      </c>
      <c r="G41" t="s">
        <v>72</v>
      </c>
      <c r="H41" t="s">
        <v>97</v>
      </c>
    </row>
    <row r="42" spans="1:8" x14ac:dyDescent="0.25">
      <c r="A42">
        <v>161</v>
      </c>
      <c r="B42">
        <v>88.454999999999899</v>
      </c>
      <c r="C42">
        <v>27.084</v>
      </c>
      <c r="D42" t="s">
        <v>72</v>
      </c>
      <c r="E42" t="s">
        <v>79</v>
      </c>
      <c r="F42" t="s">
        <v>133</v>
      </c>
      <c r="G42" t="s">
        <v>72</v>
      </c>
      <c r="H42" t="s">
        <v>97</v>
      </c>
    </row>
    <row r="43" spans="1:8" x14ac:dyDescent="0.25">
      <c r="A43">
        <v>166</v>
      </c>
      <c r="B43">
        <v>88.462999999999894</v>
      </c>
      <c r="C43">
        <v>27.088999999999899</v>
      </c>
      <c r="D43" t="s">
        <v>72</v>
      </c>
      <c r="E43" t="s">
        <v>79</v>
      </c>
      <c r="F43" t="s">
        <v>133</v>
      </c>
      <c r="G43" t="s">
        <v>72</v>
      </c>
      <c r="H43" t="s">
        <v>97</v>
      </c>
    </row>
    <row r="44" spans="1:8" x14ac:dyDescent="0.25">
      <c r="A44">
        <v>190</v>
      </c>
      <c r="B44">
        <v>88.432000000000002</v>
      </c>
      <c r="C44">
        <v>27.07</v>
      </c>
      <c r="D44" t="s">
        <v>72</v>
      </c>
      <c r="E44" t="s">
        <v>79</v>
      </c>
      <c r="F44" t="s">
        <v>133</v>
      </c>
      <c r="G44" t="s">
        <v>72</v>
      </c>
      <c r="H44" t="s">
        <v>97</v>
      </c>
    </row>
    <row r="45" spans="1:8" x14ac:dyDescent="0.25">
      <c r="A45">
        <v>192</v>
      </c>
      <c r="B45">
        <v>88.432000000000002</v>
      </c>
      <c r="C45">
        <v>27.065999999999899</v>
      </c>
      <c r="D45" t="s">
        <v>727</v>
      </c>
      <c r="E45" t="s">
        <v>729</v>
      </c>
      <c r="F45" t="s">
        <v>128</v>
      </c>
      <c r="G45" t="s">
        <v>72</v>
      </c>
      <c r="H45" t="s">
        <v>97</v>
      </c>
    </row>
    <row r="46" spans="1:8" x14ac:dyDescent="0.25">
      <c r="A46">
        <v>193</v>
      </c>
      <c r="B46">
        <v>88.433000000000007</v>
      </c>
      <c r="C46">
        <v>27.068000000000001</v>
      </c>
      <c r="D46" t="s">
        <v>89</v>
      </c>
      <c r="E46" t="s">
        <v>79</v>
      </c>
      <c r="F46" t="s">
        <v>94</v>
      </c>
      <c r="G46" t="s">
        <v>72</v>
      </c>
      <c r="H46" t="s">
        <v>97</v>
      </c>
    </row>
    <row r="47" spans="1:8" x14ac:dyDescent="0.25">
      <c r="A47">
        <v>194</v>
      </c>
      <c r="B47">
        <v>88.433000000000007</v>
      </c>
      <c r="C47">
        <v>27.067</v>
      </c>
      <c r="D47" t="s">
        <v>72</v>
      </c>
      <c r="E47" t="s">
        <v>79</v>
      </c>
      <c r="F47" t="s">
        <v>94</v>
      </c>
      <c r="G47" t="s">
        <v>72</v>
      </c>
      <c r="H47" t="s">
        <v>97</v>
      </c>
    </row>
    <row r="48" spans="1:8" x14ac:dyDescent="0.25">
      <c r="A48">
        <v>203</v>
      </c>
      <c r="B48">
        <v>88.441999999999894</v>
      </c>
      <c r="C48">
        <v>27.079999999999899</v>
      </c>
      <c r="D48" t="s">
        <v>760</v>
      </c>
      <c r="E48" t="s">
        <v>79</v>
      </c>
      <c r="F48" t="s">
        <v>128</v>
      </c>
      <c r="G48" t="s">
        <v>72</v>
      </c>
      <c r="H48" t="s">
        <v>97</v>
      </c>
    </row>
    <row r="49" spans="1:8" x14ac:dyDescent="0.25">
      <c r="A49">
        <v>206</v>
      </c>
      <c r="B49">
        <v>88.4438999999999</v>
      </c>
      <c r="C49">
        <v>27.0612999999999</v>
      </c>
      <c r="D49" t="s">
        <v>775</v>
      </c>
      <c r="E49" t="s">
        <v>148</v>
      </c>
      <c r="F49" t="s">
        <v>94</v>
      </c>
      <c r="G49" t="s">
        <v>72</v>
      </c>
      <c r="H49" t="s">
        <v>97</v>
      </c>
    </row>
    <row r="50" spans="1:8" x14ac:dyDescent="0.25">
      <c r="A50">
        <v>215</v>
      </c>
      <c r="B50">
        <v>88.451999999999899</v>
      </c>
      <c r="C50">
        <v>27.082000000000001</v>
      </c>
      <c r="D50" t="s">
        <v>72</v>
      </c>
      <c r="E50" t="s">
        <v>79</v>
      </c>
      <c r="F50" t="s">
        <v>133</v>
      </c>
      <c r="G50" t="s">
        <v>72</v>
      </c>
      <c r="H50" t="s">
        <v>97</v>
      </c>
    </row>
    <row r="51" spans="1:8" x14ac:dyDescent="0.25">
      <c r="A51">
        <v>267</v>
      </c>
      <c r="B51">
        <v>88.469999999999899</v>
      </c>
      <c r="C51">
        <v>27.1099999999999</v>
      </c>
      <c r="D51" t="s">
        <v>72</v>
      </c>
      <c r="E51" t="s">
        <v>79</v>
      </c>
      <c r="F51" t="s">
        <v>94</v>
      </c>
      <c r="G51" t="s">
        <v>72</v>
      </c>
      <c r="H51" t="s">
        <v>97</v>
      </c>
    </row>
    <row r="52" spans="1:8" x14ac:dyDescent="0.25">
      <c r="A52">
        <v>268</v>
      </c>
      <c r="B52">
        <v>88.471999999999895</v>
      </c>
      <c r="C52">
        <v>27.113</v>
      </c>
      <c r="D52" t="s">
        <v>72</v>
      </c>
      <c r="E52" t="s">
        <v>79</v>
      </c>
      <c r="F52" t="s">
        <v>94</v>
      </c>
      <c r="G52" t="s">
        <v>72</v>
      </c>
      <c r="H52" t="s">
        <v>97</v>
      </c>
    </row>
    <row r="53" spans="1:8" x14ac:dyDescent="0.25">
      <c r="A53">
        <v>271</v>
      </c>
      <c r="B53">
        <v>88.495000000000005</v>
      </c>
      <c r="C53">
        <v>27.1099999999999</v>
      </c>
      <c r="D53" t="s">
        <v>72</v>
      </c>
      <c r="E53" t="s">
        <v>79</v>
      </c>
      <c r="F53" t="s">
        <v>94</v>
      </c>
      <c r="G53" t="s">
        <v>72</v>
      </c>
      <c r="H53" t="s">
        <v>97</v>
      </c>
    </row>
    <row r="54" spans="1:8" x14ac:dyDescent="0.25">
      <c r="A54">
        <v>281</v>
      </c>
      <c r="B54">
        <v>88.477000000000004</v>
      </c>
      <c r="C54">
        <v>27.117999999999899</v>
      </c>
      <c r="D54" t="s">
        <v>72</v>
      </c>
      <c r="E54" t="s">
        <v>79</v>
      </c>
      <c r="F54" t="s">
        <v>94</v>
      </c>
      <c r="G54" t="s">
        <v>72</v>
      </c>
      <c r="H54" t="s">
        <v>97</v>
      </c>
    </row>
    <row r="55" spans="1:8" x14ac:dyDescent="0.25">
      <c r="A55">
        <v>314</v>
      </c>
      <c r="B55">
        <v>88.491</v>
      </c>
      <c r="C55">
        <v>27.119</v>
      </c>
      <c r="D55" t="s">
        <v>72</v>
      </c>
      <c r="E55" t="s">
        <v>79</v>
      </c>
      <c r="F55" t="s">
        <v>133</v>
      </c>
      <c r="G55" t="s">
        <v>72</v>
      </c>
      <c r="H55" t="s">
        <v>97</v>
      </c>
    </row>
    <row r="56" spans="1:8" x14ac:dyDescent="0.25">
      <c r="A56">
        <v>317</v>
      </c>
      <c r="B56">
        <v>88.489000000000004</v>
      </c>
      <c r="C56">
        <v>27.12</v>
      </c>
      <c r="D56" t="s">
        <v>72</v>
      </c>
      <c r="E56" t="s">
        <v>79</v>
      </c>
      <c r="F56" t="s">
        <v>133</v>
      </c>
      <c r="G56" t="s">
        <v>72</v>
      </c>
      <c r="H56" t="s">
        <v>97</v>
      </c>
    </row>
    <row r="57" spans="1:8" x14ac:dyDescent="0.25">
      <c r="A57">
        <v>334</v>
      </c>
      <c r="B57">
        <v>88.495999999999896</v>
      </c>
      <c r="C57">
        <v>27.122</v>
      </c>
      <c r="D57" t="s">
        <v>72</v>
      </c>
      <c r="E57" t="s">
        <v>148</v>
      </c>
      <c r="F57" t="s">
        <v>94</v>
      </c>
      <c r="G57" t="s">
        <v>72</v>
      </c>
      <c r="H57" t="s">
        <v>97</v>
      </c>
    </row>
    <row r="58" spans="1:8" x14ac:dyDescent="0.25">
      <c r="A58">
        <v>15</v>
      </c>
      <c r="B58">
        <v>88.427000000000007</v>
      </c>
      <c r="C58">
        <v>27.039000000000001</v>
      </c>
      <c r="D58" t="s">
        <v>72</v>
      </c>
      <c r="E58" t="s">
        <v>148</v>
      </c>
      <c r="F58" t="s">
        <v>94</v>
      </c>
      <c r="G58" t="s">
        <v>149</v>
      </c>
      <c r="H58" t="s">
        <v>97</v>
      </c>
    </row>
    <row r="59" spans="1:8" x14ac:dyDescent="0.25">
      <c r="A59">
        <v>5</v>
      </c>
      <c r="B59">
        <v>88.451397999999898</v>
      </c>
      <c r="C59">
        <v>27.025358000000001</v>
      </c>
      <c r="D59" t="s">
        <v>89</v>
      </c>
      <c r="E59" t="s">
        <v>79</v>
      </c>
      <c r="F59" t="s">
        <v>94</v>
      </c>
      <c r="G59" t="s">
        <v>95</v>
      </c>
      <c r="H59" t="s">
        <v>113</v>
      </c>
    </row>
    <row r="60" spans="1:8" x14ac:dyDescent="0.25">
      <c r="A60">
        <v>6</v>
      </c>
      <c r="B60">
        <v>88.450806999999898</v>
      </c>
      <c r="C60">
        <v>27.025524999999899</v>
      </c>
      <c r="D60" t="s">
        <v>89</v>
      </c>
      <c r="E60" t="s">
        <v>79</v>
      </c>
      <c r="F60" t="s">
        <v>94</v>
      </c>
      <c r="G60" t="s">
        <v>95</v>
      </c>
      <c r="H60" t="s">
        <v>113</v>
      </c>
    </row>
    <row r="61" spans="1:8" x14ac:dyDescent="0.25">
      <c r="A61">
        <v>19</v>
      </c>
      <c r="B61">
        <v>88.427009999999896</v>
      </c>
      <c r="C61">
        <v>27.041532</v>
      </c>
      <c r="D61" t="s">
        <v>89</v>
      </c>
      <c r="E61" t="s">
        <v>79</v>
      </c>
      <c r="F61" t="s">
        <v>94</v>
      </c>
      <c r="G61" t="s">
        <v>95</v>
      </c>
      <c r="H61" t="s">
        <v>113</v>
      </c>
    </row>
    <row r="62" spans="1:8" x14ac:dyDescent="0.25">
      <c r="A62">
        <v>24</v>
      </c>
      <c r="B62">
        <v>88.439999999999898</v>
      </c>
      <c r="C62">
        <v>27.0489999999999</v>
      </c>
      <c r="D62" t="s">
        <v>89</v>
      </c>
      <c r="E62" t="s">
        <v>79</v>
      </c>
      <c r="F62" t="s">
        <v>94</v>
      </c>
      <c r="G62" t="s">
        <v>95</v>
      </c>
      <c r="H62" t="s">
        <v>113</v>
      </c>
    </row>
    <row r="63" spans="1:8" x14ac:dyDescent="0.25">
      <c r="A63">
        <v>26</v>
      </c>
      <c r="B63">
        <v>88.452511000000001</v>
      </c>
      <c r="C63">
        <v>27.014441999999899</v>
      </c>
      <c r="D63" t="s">
        <v>89</v>
      </c>
      <c r="E63" t="s">
        <v>186</v>
      </c>
      <c r="F63" t="s">
        <v>94</v>
      </c>
      <c r="G63" t="s">
        <v>95</v>
      </c>
      <c r="H63" t="s">
        <v>113</v>
      </c>
    </row>
    <row r="64" spans="1:8" x14ac:dyDescent="0.25">
      <c r="A64">
        <v>46</v>
      </c>
      <c r="B64">
        <v>88.430300000000003</v>
      </c>
      <c r="C64">
        <v>27.001999999999899</v>
      </c>
      <c r="D64" t="s">
        <v>89</v>
      </c>
      <c r="E64" t="s">
        <v>79</v>
      </c>
      <c r="F64" t="s">
        <v>94</v>
      </c>
      <c r="G64" t="s">
        <v>95</v>
      </c>
      <c r="H64" t="s">
        <v>113</v>
      </c>
    </row>
    <row r="65" spans="1:8" x14ac:dyDescent="0.25">
      <c r="A65">
        <v>47</v>
      </c>
      <c r="B65">
        <v>88.440580999999895</v>
      </c>
      <c r="C65">
        <v>27.0029369999999</v>
      </c>
      <c r="D65" t="s">
        <v>105</v>
      </c>
      <c r="E65" t="s">
        <v>186</v>
      </c>
      <c r="F65" t="s">
        <v>94</v>
      </c>
      <c r="G65" t="s">
        <v>95</v>
      </c>
      <c r="H65" t="s">
        <v>113</v>
      </c>
    </row>
    <row r="66" spans="1:8" x14ac:dyDescent="0.25">
      <c r="A66">
        <v>48</v>
      </c>
      <c r="B66">
        <v>88.440031000000005</v>
      </c>
      <c r="C66">
        <v>27.003917999999899</v>
      </c>
      <c r="D66" t="s">
        <v>89</v>
      </c>
      <c r="E66" t="s">
        <v>186</v>
      </c>
      <c r="F66" t="s">
        <v>94</v>
      </c>
      <c r="G66" t="s">
        <v>95</v>
      </c>
      <c r="H66" t="s">
        <v>113</v>
      </c>
    </row>
    <row r="67" spans="1:8" x14ac:dyDescent="0.25">
      <c r="A67">
        <v>50</v>
      </c>
      <c r="B67">
        <v>88.443168</v>
      </c>
      <c r="C67">
        <v>27.005317000000002</v>
      </c>
      <c r="D67" t="s">
        <v>89</v>
      </c>
      <c r="E67" t="s">
        <v>79</v>
      </c>
      <c r="F67" t="s">
        <v>94</v>
      </c>
      <c r="G67" t="s">
        <v>95</v>
      </c>
      <c r="H67" t="s">
        <v>113</v>
      </c>
    </row>
    <row r="68" spans="1:8" x14ac:dyDescent="0.25">
      <c r="A68">
        <v>59</v>
      </c>
      <c r="B68">
        <v>88.432668000000007</v>
      </c>
      <c r="C68">
        <v>27.0171449999999</v>
      </c>
      <c r="D68" t="s">
        <v>89</v>
      </c>
      <c r="E68" t="s">
        <v>79</v>
      </c>
      <c r="F68" t="s">
        <v>94</v>
      </c>
      <c r="G68" t="s">
        <v>95</v>
      </c>
      <c r="H68" t="s">
        <v>113</v>
      </c>
    </row>
    <row r="69" spans="1:8" x14ac:dyDescent="0.25">
      <c r="A69">
        <v>61</v>
      </c>
      <c r="B69">
        <v>88.434995000000001</v>
      </c>
      <c r="C69">
        <v>27.018491000000001</v>
      </c>
      <c r="D69" t="s">
        <v>89</v>
      </c>
      <c r="E69" t="s">
        <v>79</v>
      </c>
      <c r="F69" t="s">
        <v>94</v>
      </c>
      <c r="G69" t="s">
        <v>95</v>
      </c>
      <c r="H69" t="s">
        <v>113</v>
      </c>
    </row>
    <row r="70" spans="1:8" x14ac:dyDescent="0.25">
      <c r="A70">
        <v>151</v>
      </c>
      <c r="B70">
        <v>88.456000000000003</v>
      </c>
      <c r="C70">
        <v>27.0719999999999</v>
      </c>
      <c r="D70" t="s">
        <v>89</v>
      </c>
      <c r="E70" t="s">
        <v>79</v>
      </c>
      <c r="F70" t="s">
        <v>94</v>
      </c>
      <c r="G70" t="s">
        <v>95</v>
      </c>
      <c r="H70" t="s">
        <v>113</v>
      </c>
    </row>
    <row r="71" spans="1:8" x14ac:dyDescent="0.25">
      <c r="A71">
        <v>173</v>
      </c>
      <c r="B71">
        <v>88.424747999999894</v>
      </c>
      <c r="C71">
        <v>27.054033</v>
      </c>
      <c r="D71" t="s">
        <v>89</v>
      </c>
      <c r="E71" t="s">
        <v>186</v>
      </c>
      <c r="F71" t="s">
        <v>94</v>
      </c>
      <c r="G71" t="s">
        <v>95</v>
      </c>
      <c r="H71" t="s">
        <v>113</v>
      </c>
    </row>
    <row r="72" spans="1:8" x14ac:dyDescent="0.25">
      <c r="A72">
        <v>174</v>
      </c>
      <c r="B72">
        <v>88.426056000000003</v>
      </c>
      <c r="C72">
        <v>27.070333000000002</v>
      </c>
      <c r="D72" t="s">
        <v>89</v>
      </c>
      <c r="E72" t="s">
        <v>79</v>
      </c>
      <c r="F72" t="s">
        <v>128</v>
      </c>
      <c r="G72" t="s">
        <v>95</v>
      </c>
      <c r="H72" t="s">
        <v>113</v>
      </c>
    </row>
    <row r="73" spans="1:8" x14ac:dyDescent="0.25">
      <c r="A73">
        <v>199</v>
      </c>
      <c r="B73">
        <v>88.435513</v>
      </c>
      <c r="C73">
        <v>27.055069</v>
      </c>
      <c r="D73" t="s">
        <v>89</v>
      </c>
      <c r="E73" t="s">
        <v>186</v>
      </c>
      <c r="F73" t="s">
        <v>94</v>
      </c>
      <c r="G73" t="s">
        <v>95</v>
      </c>
      <c r="H73" t="s">
        <v>113</v>
      </c>
    </row>
    <row r="74" spans="1:8" x14ac:dyDescent="0.25">
      <c r="A74">
        <v>200</v>
      </c>
      <c r="B74">
        <v>88.435642999999899</v>
      </c>
      <c r="C74">
        <v>27.054309</v>
      </c>
      <c r="D74" t="s">
        <v>89</v>
      </c>
      <c r="E74" t="s">
        <v>148</v>
      </c>
      <c r="F74" t="s">
        <v>94</v>
      </c>
      <c r="G74" t="s">
        <v>95</v>
      </c>
      <c r="H74" t="s">
        <v>113</v>
      </c>
    </row>
    <row r="75" spans="1:8" x14ac:dyDescent="0.25">
      <c r="A75">
        <v>212</v>
      </c>
      <c r="B75">
        <v>88.4465509999999</v>
      </c>
      <c r="C75">
        <v>27.051057</v>
      </c>
      <c r="D75" t="s">
        <v>89</v>
      </c>
      <c r="E75" t="s">
        <v>79</v>
      </c>
      <c r="F75" t="s">
        <v>94</v>
      </c>
      <c r="G75" t="s">
        <v>95</v>
      </c>
      <c r="H75" t="s">
        <v>113</v>
      </c>
    </row>
    <row r="76" spans="1:8" x14ac:dyDescent="0.25">
      <c r="A76">
        <v>216</v>
      </c>
      <c r="B76">
        <v>88.452106000000001</v>
      </c>
      <c r="C76">
        <v>27.073266</v>
      </c>
      <c r="D76" t="s">
        <v>89</v>
      </c>
      <c r="E76" t="s">
        <v>79</v>
      </c>
      <c r="F76" t="s">
        <v>128</v>
      </c>
      <c r="G76" t="s">
        <v>95</v>
      </c>
      <c r="H76" t="s">
        <v>113</v>
      </c>
    </row>
    <row r="77" spans="1:8" x14ac:dyDescent="0.25">
      <c r="A77">
        <v>223</v>
      </c>
      <c r="B77">
        <v>88.470775000000003</v>
      </c>
      <c r="C77">
        <v>27.002613</v>
      </c>
      <c r="D77" t="s">
        <v>89</v>
      </c>
      <c r="E77" t="s">
        <v>79</v>
      </c>
      <c r="F77" t="s">
        <v>94</v>
      </c>
      <c r="G77" t="s">
        <v>95</v>
      </c>
      <c r="H77" t="s">
        <v>113</v>
      </c>
    </row>
    <row r="78" spans="1:8" x14ac:dyDescent="0.25">
      <c r="A78">
        <v>226</v>
      </c>
      <c r="B78">
        <v>88.478081000000003</v>
      </c>
      <c r="C78">
        <v>27.0029299999999</v>
      </c>
      <c r="D78" t="s">
        <v>89</v>
      </c>
      <c r="E78" t="s">
        <v>79</v>
      </c>
      <c r="F78" t="s">
        <v>94</v>
      </c>
      <c r="G78" t="s">
        <v>95</v>
      </c>
      <c r="H78" t="s">
        <v>113</v>
      </c>
    </row>
    <row r="79" spans="1:8" x14ac:dyDescent="0.25">
      <c r="A79">
        <v>249</v>
      </c>
      <c r="B79">
        <v>88.479400999999896</v>
      </c>
      <c r="C79">
        <v>27.095580000000002</v>
      </c>
      <c r="D79" t="s">
        <v>89</v>
      </c>
      <c r="E79" t="s">
        <v>148</v>
      </c>
      <c r="F79" t="s">
        <v>94</v>
      </c>
      <c r="G79" t="s">
        <v>95</v>
      </c>
      <c r="H79" t="s">
        <v>113</v>
      </c>
    </row>
    <row r="80" spans="1:8" x14ac:dyDescent="0.25">
      <c r="A80">
        <v>251</v>
      </c>
      <c r="B80">
        <v>88.468224000000006</v>
      </c>
      <c r="C80">
        <v>27.09768</v>
      </c>
      <c r="D80" t="s">
        <v>89</v>
      </c>
      <c r="E80" t="s">
        <v>79</v>
      </c>
      <c r="F80" t="s">
        <v>94</v>
      </c>
      <c r="G80" t="s">
        <v>95</v>
      </c>
      <c r="H80" t="s">
        <v>113</v>
      </c>
    </row>
    <row r="81" spans="1:8" x14ac:dyDescent="0.25">
      <c r="A81">
        <v>253</v>
      </c>
      <c r="B81">
        <v>88.471434000000002</v>
      </c>
      <c r="C81">
        <v>27.0997319999999</v>
      </c>
      <c r="D81" t="s">
        <v>105</v>
      </c>
      <c r="E81" t="s">
        <v>79</v>
      </c>
      <c r="F81" t="s">
        <v>94</v>
      </c>
      <c r="G81" t="s">
        <v>95</v>
      </c>
      <c r="H81" t="s">
        <v>113</v>
      </c>
    </row>
    <row r="82" spans="1:8" x14ac:dyDescent="0.25">
      <c r="A82">
        <v>259</v>
      </c>
      <c r="B82">
        <v>88.473078000000001</v>
      </c>
      <c r="C82">
        <v>27.086855</v>
      </c>
      <c r="D82" t="s">
        <v>89</v>
      </c>
      <c r="E82" t="s">
        <v>79</v>
      </c>
      <c r="F82" t="s">
        <v>94</v>
      </c>
      <c r="G82" t="s">
        <v>95</v>
      </c>
      <c r="H82" t="s">
        <v>113</v>
      </c>
    </row>
    <row r="83" spans="1:8" x14ac:dyDescent="0.25">
      <c r="A83">
        <v>260</v>
      </c>
      <c r="B83">
        <v>88.4742099999999</v>
      </c>
      <c r="C83">
        <v>27.086814</v>
      </c>
      <c r="D83" t="s">
        <v>89</v>
      </c>
      <c r="E83" t="s">
        <v>79</v>
      </c>
      <c r="F83" t="s">
        <v>94</v>
      </c>
      <c r="G83" t="s">
        <v>95</v>
      </c>
      <c r="H83" t="s">
        <v>113</v>
      </c>
    </row>
    <row r="84" spans="1:8" x14ac:dyDescent="0.25">
      <c r="A84">
        <v>263</v>
      </c>
      <c r="B84">
        <v>88.476854000000003</v>
      </c>
      <c r="C84">
        <v>27.089476999999899</v>
      </c>
      <c r="D84" t="s">
        <v>89</v>
      </c>
      <c r="E84" t="s">
        <v>79</v>
      </c>
      <c r="F84" t="s">
        <v>128</v>
      </c>
      <c r="G84" t="s">
        <v>95</v>
      </c>
      <c r="H84" t="s">
        <v>113</v>
      </c>
    </row>
    <row r="85" spans="1:8" x14ac:dyDescent="0.25">
      <c r="A85">
        <v>264</v>
      </c>
      <c r="B85">
        <v>88.483973000000006</v>
      </c>
      <c r="C85">
        <v>27.0893839999999</v>
      </c>
      <c r="D85" t="s">
        <v>89</v>
      </c>
      <c r="E85" t="s">
        <v>148</v>
      </c>
      <c r="F85" t="s">
        <v>94</v>
      </c>
      <c r="G85" t="s">
        <v>95</v>
      </c>
      <c r="H85" t="s">
        <v>113</v>
      </c>
    </row>
    <row r="86" spans="1:8" x14ac:dyDescent="0.25">
      <c r="A86">
        <v>286</v>
      </c>
      <c r="B86">
        <v>88.5434699999999</v>
      </c>
      <c r="C86">
        <v>27.134847000000001</v>
      </c>
      <c r="D86" t="s">
        <v>89</v>
      </c>
      <c r="E86" t="s">
        <v>79</v>
      </c>
      <c r="F86" t="s">
        <v>94</v>
      </c>
      <c r="G86" t="s">
        <v>95</v>
      </c>
      <c r="H86" t="s">
        <v>113</v>
      </c>
    </row>
    <row r="87" spans="1:8" x14ac:dyDescent="0.25">
      <c r="A87">
        <v>287</v>
      </c>
      <c r="B87">
        <v>88.519288000000003</v>
      </c>
      <c r="C87">
        <v>27.138065999999899</v>
      </c>
      <c r="D87" t="s">
        <v>89</v>
      </c>
      <c r="E87" t="s">
        <v>79</v>
      </c>
      <c r="F87" t="s">
        <v>128</v>
      </c>
      <c r="G87" t="s">
        <v>95</v>
      </c>
      <c r="H87" t="s">
        <v>113</v>
      </c>
    </row>
    <row r="88" spans="1:8" x14ac:dyDescent="0.25">
      <c r="A88">
        <v>288</v>
      </c>
      <c r="B88">
        <v>88.536035999999896</v>
      </c>
      <c r="C88">
        <v>27.143115000000002</v>
      </c>
      <c r="D88" t="s">
        <v>89</v>
      </c>
      <c r="E88" t="s">
        <v>79</v>
      </c>
      <c r="F88" t="s">
        <v>94</v>
      </c>
      <c r="G88" t="s">
        <v>95</v>
      </c>
      <c r="H88" t="s">
        <v>113</v>
      </c>
    </row>
    <row r="89" spans="1:8" x14ac:dyDescent="0.25">
      <c r="A89">
        <v>299</v>
      </c>
      <c r="B89">
        <v>88.543000000000006</v>
      </c>
      <c r="C89">
        <v>27.158999999999899</v>
      </c>
      <c r="D89" t="s">
        <v>89</v>
      </c>
      <c r="E89" t="s">
        <v>186</v>
      </c>
      <c r="F89" t="s">
        <v>128</v>
      </c>
      <c r="G89" t="s">
        <v>95</v>
      </c>
      <c r="H89" t="s">
        <v>113</v>
      </c>
    </row>
    <row r="90" spans="1:8" x14ac:dyDescent="0.25">
      <c r="A90">
        <v>305</v>
      </c>
      <c r="B90">
        <v>88.545405000000002</v>
      </c>
      <c r="C90">
        <v>27.176309</v>
      </c>
      <c r="D90" t="s">
        <v>89</v>
      </c>
      <c r="E90" t="s">
        <v>79</v>
      </c>
      <c r="F90" t="s">
        <v>128</v>
      </c>
      <c r="G90" t="s">
        <v>95</v>
      </c>
      <c r="H90" t="s">
        <v>113</v>
      </c>
    </row>
    <row r="91" spans="1:8" x14ac:dyDescent="0.25">
      <c r="A91">
        <v>306</v>
      </c>
      <c r="B91">
        <v>88.533096999999898</v>
      </c>
      <c r="C91">
        <v>27.178889000000002</v>
      </c>
      <c r="D91" t="s">
        <v>89</v>
      </c>
      <c r="E91" t="s">
        <v>148</v>
      </c>
      <c r="F91" t="s">
        <v>94</v>
      </c>
      <c r="G91" t="s">
        <v>95</v>
      </c>
      <c r="H91" t="s">
        <v>113</v>
      </c>
    </row>
    <row r="92" spans="1:8" x14ac:dyDescent="0.25">
      <c r="A92">
        <v>315</v>
      </c>
      <c r="B92">
        <v>88.490127000000001</v>
      </c>
      <c r="C92">
        <v>27.1190549999999</v>
      </c>
      <c r="D92" t="s">
        <v>89</v>
      </c>
      <c r="E92" t="s">
        <v>148</v>
      </c>
      <c r="F92" t="s">
        <v>94</v>
      </c>
      <c r="G92" t="s">
        <v>95</v>
      </c>
      <c r="H92" t="s">
        <v>113</v>
      </c>
    </row>
    <row r="93" spans="1:8" x14ac:dyDescent="0.25">
      <c r="A93">
        <v>321</v>
      </c>
      <c r="B93">
        <v>88.490258999999895</v>
      </c>
      <c r="C93">
        <v>27.123667999999899</v>
      </c>
      <c r="D93" t="s">
        <v>89</v>
      </c>
      <c r="E93" t="s">
        <v>79</v>
      </c>
      <c r="F93" t="s">
        <v>94</v>
      </c>
      <c r="G93" t="s">
        <v>95</v>
      </c>
      <c r="H93" t="s">
        <v>113</v>
      </c>
    </row>
    <row r="94" spans="1:8" x14ac:dyDescent="0.25">
      <c r="A94">
        <v>329</v>
      </c>
      <c r="B94">
        <v>88.551108999999897</v>
      </c>
      <c r="C94">
        <v>27.151457000000001</v>
      </c>
      <c r="D94" t="s">
        <v>89</v>
      </c>
      <c r="E94" t="s">
        <v>79</v>
      </c>
      <c r="F94" t="s">
        <v>94</v>
      </c>
      <c r="G94" t="s">
        <v>95</v>
      </c>
      <c r="H94" t="s">
        <v>113</v>
      </c>
    </row>
    <row r="95" spans="1:8" x14ac:dyDescent="0.25">
      <c r="A95">
        <v>330</v>
      </c>
      <c r="B95">
        <v>88.507400000000004</v>
      </c>
      <c r="C95">
        <v>27.119812</v>
      </c>
      <c r="D95" t="s">
        <v>1104</v>
      </c>
      <c r="E95" t="s">
        <v>79</v>
      </c>
      <c r="F95" t="s">
        <v>94</v>
      </c>
      <c r="G95" t="s">
        <v>95</v>
      </c>
      <c r="H95" t="s">
        <v>113</v>
      </c>
    </row>
    <row r="96" spans="1:8" x14ac:dyDescent="0.25">
      <c r="A96">
        <v>158</v>
      </c>
      <c r="B96">
        <v>88.463999999999899</v>
      </c>
      <c r="C96">
        <v>27.082000000000001</v>
      </c>
      <c r="D96" t="s">
        <v>89</v>
      </c>
      <c r="E96" t="s">
        <v>186</v>
      </c>
      <c r="F96" t="s">
        <v>133</v>
      </c>
      <c r="G96" t="s">
        <v>95</v>
      </c>
      <c r="H96" t="s">
        <v>609</v>
      </c>
    </row>
    <row r="97" spans="1:8" x14ac:dyDescent="0.25">
      <c r="A97">
        <v>245</v>
      </c>
      <c r="B97">
        <v>88.477472000000006</v>
      </c>
      <c r="C97">
        <v>26.886778</v>
      </c>
      <c r="D97" t="s">
        <v>89</v>
      </c>
      <c r="E97" t="s">
        <v>79</v>
      </c>
      <c r="F97" t="s">
        <v>94</v>
      </c>
      <c r="G97" t="s">
        <v>95</v>
      </c>
      <c r="H97" t="s">
        <v>609</v>
      </c>
    </row>
    <row r="98" spans="1:8" x14ac:dyDescent="0.25">
      <c r="A98">
        <v>324</v>
      </c>
      <c r="B98">
        <v>88.494388999999899</v>
      </c>
      <c r="C98">
        <v>27.153528000000001</v>
      </c>
      <c r="D98" t="s">
        <v>89</v>
      </c>
      <c r="E98" t="s">
        <v>79</v>
      </c>
      <c r="F98" t="s">
        <v>94</v>
      </c>
      <c r="G98" t="s">
        <v>95</v>
      </c>
      <c r="H98" t="s">
        <v>609</v>
      </c>
    </row>
    <row r="99" spans="1:8" x14ac:dyDescent="0.25">
      <c r="A99">
        <v>1</v>
      </c>
      <c r="B99">
        <v>88.4330199999999</v>
      </c>
      <c r="C99">
        <v>27.023536</v>
      </c>
      <c r="D99" t="s">
        <v>89</v>
      </c>
      <c r="E99" t="s">
        <v>79</v>
      </c>
      <c r="F99" t="s">
        <v>94</v>
      </c>
      <c r="G99" t="s">
        <v>95</v>
      </c>
      <c r="H99" t="s">
        <v>97</v>
      </c>
    </row>
    <row r="100" spans="1:8" x14ac:dyDescent="0.25">
      <c r="A100">
        <v>2</v>
      </c>
      <c r="B100">
        <v>88.4377759999999</v>
      </c>
      <c r="C100">
        <v>27.023665999999899</v>
      </c>
      <c r="D100" t="s">
        <v>89</v>
      </c>
      <c r="E100" t="s">
        <v>79</v>
      </c>
      <c r="F100" t="s">
        <v>94</v>
      </c>
      <c r="G100" t="s">
        <v>95</v>
      </c>
      <c r="H100" t="s">
        <v>97</v>
      </c>
    </row>
    <row r="101" spans="1:8" x14ac:dyDescent="0.25">
      <c r="A101">
        <v>4</v>
      </c>
      <c r="B101">
        <v>88.432139000000006</v>
      </c>
      <c r="C101">
        <v>27.024806000000002</v>
      </c>
      <c r="D101" t="s">
        <v>89</v>
      </c>
      <c r="E101" t="s">
        <v>79</v>
      </c>
      <c r="F101" t="s">
        <v>94</v>
      </c>
      <c r="G101" t="s">
        <v>95</v>
      </c>
      <c r="H101" t="s">
        <v>97</v>
      </c>
    </row>
    <row r="102" spans="1:8" x14ac:dyDescent="0.25">
      <c r="A102">
        <v>9</v>
      </c>
      <c r="B102">
        <v>88.428334000000007</v>
      </c>
      <c r="C102">
        <v>27.030176000000001</v>
      </c>
      <c r="D102" t="s">
        <v>89</v>
      </c>
      <c r="E102" t="s">
        <v>79</v>
      </c>
      <c r="F102" t="s">
        <v>94</v>
      </c>
      <c r="G102" t="s">
        <v>95</v>
      </c>
      <c r="H102" t="s">
        <v>97</v>
      </c>
    </row>
    <row r="103" spans="1:8" x14ac:dyDescent="0.25">
      <c r="A103">
        <v>10</v>
      </c>
      <c r="B103">
        <v>88.428611000000004</v>
      </c>
      <c r="C103">
        <v>27.034972</v>
      </c>
      <c r="D103" t="s">
        <v>89</v>
      </c>
      <c r="E103" t="s">
        <v>79</v>
      </c>
      <c r="F103" t="s">
        <v>128</v>
      </c>
      <c r="G103" t="s">
        <v>95</v>
      </c>
      <c r="H103" t="s">
        <v>97</v>
      </c>
    </row>
    <row r="104" spans="1:8" x14ac:dyDescent="0.25">
      <c r="A104">
        <v>11</v>
      </c>
      <c r="B104">
        <v>88.426019999999895</v>
      </c>
      <c r="C104">
        <v>27.038159</v>
      </c>
      <c r="D104" t="s">
        <v>89</v>
      </c>
      <c r="E104" t="s">
        <v>79</v>
      </c>
      <c r="F104" t="s">
        <v>133</v>
      </c>
      <c r="G104" t="s">
        <v>95</v>
      </c>
      <c r="H104" t="s">
        <v>97</v>
      </c>
    </row>
    <row r="105" spans="1:8" x14ac:dyDescent="0.25">
      <c r="A105">
        <v>14</v>
      </c>
      <c r="B105">
        <v>88.426721999999899</v>
      </c>
      <c r="C105">
        <v>27.038833</v>
      </c>
      <c r="D105" t="s">
        <v>89</v>
      </c>
      <c r="E105" t="s">
        <v>79</v>
      </c>
      <c r="F105" t="s">
        <v>94</v>
      </c>
      <c r="G105" t="s">
        <v>95</v>
      </c>
      <c r="H105" t="s">
        <v>97</v>
      </c>
    </row>
    <row r="106" spans="1:8" x14ac:dyDescent="0.25">
      <c r="A106">
        <v>16</v>
      </c>
      <c r="B106">
        <v>88.425920000000005</v>
      </c>
      <c r="C106">
        <v>27.039788000000001</v>
      </c>
      <c r="D106" t="s">
        <v>89</v>
      </c>
      <c r="E106" t="s">
        <v>148</v>
      </c>
      <c r="F106" t="s">
        <v>94</v>
      </c>
      <c r="G106" t="s">
        <v>95</v>
      </c>
      <c r="H106" t="s">
        <v>97</v>
      </c>
    </row>
    <row r="107" spans="1:8" x14ac:dyDescent="0.25">
      <c r="A107">
        <v>17</v>
      </c>
      <c r="B107">
        <v>88.427278000000001</v>
      </c>
      <c r="C107">
        <v>27.040361000000001</v>
      </c>
      <c r="D107" t="s">
        <v>89</v>
      </c>
      <c r="E107" t="s">
        <v>79</v>
      </c>
      <c r="F107" t="s">
        <v>94</v>
      </c>
      <c r="G107" t="s">
        <v>95</v>
      </c>
      <c r="H107" t="s">
        <v>97</v>
      </c>
    </row>
    <row r="108" spans="1:8" x14ac:dyDescent="0.25">
      <c r="A108">
        <v>18</v>
      </c>
      <c r="B108">
        <v>88.427008000000001</v>
      </c>
      <c r="C108">
        <v>27.041515</v>
      </c>
      <c r="D108" t="s">
        <v>89</v>
      </c>
      <c r="E108" t="s">
        <v>148</v>
      </c>
      <c r="F108" t="s">
        <v>94</v>
      </c>
      <c r="G108" t="s">
        <v>95</v>
      </c>
      <c r="H108" t="s">
        <v>97</v>
      </c>
    </row>
    <row r="109" spans="1:8" x14ac:dyDescent="0.25">
      <c r="A109">
        <v>20</v>
      </c>
      <c r="B109">
        <v>88.428194000000005</v>
      </c>
      <c r="C109">
        <v>27.041944000000001</v>
      </c>
      <c r="D109" t="s">
        <v>89</v>
      </c>
      <c r="E109" t="s">
        <v>79</v>
      </c>
      <c r="F109" t="s">
        <v>128</v>
      </c>
      <c r="G109" t="s">
        <v>95</v>
      </c>
      <c r="H109" t="s">
        <v>97</v>
      </c>
    </row>
    <row r="110" spans="1:8" x14ac:dyDescent="0.25">
      <c r="A110">
        <v>22</v>
      </c>
      <c r="B110">
        <v>88.427239</v>
      </c>
      <c r="C110">
        <v>27.045535000000001</v>
      </c>
      <c r="D110" t="s">
        <v>89</v>
      </c>
      <c r="E110" t="s">
        <v>148</v>
      </c>
      <c r="F110" t="s">
        <v>94</v>
      </c>
      <c r="G110" t="s">
        <v>95</v>
      </c>
      <c r="H110" t="s">
        <v>97</v>
      </c>
    </row>
    <row r="111" spans="1:8" x14ac:dyDescent="0.25">
      <c r="A111">
        <v>27</v>
      </c>
      <c r="B111">
        <v>88.455158999999895</v>
      </c>
      <c r="C111">
        <v>26.993165999999899</v>
      </c>
      <c r="D111" t="s">
        <v>89</v>
      </c>
      <c r="E111" t="s">
        <v>79</v>
      </c>
      <c r="F111" t="s">
        <v>94</v>
      </c>
      <c r="G111" t="s">
        <v>95</v>
      </c>
      <c r="H111" t="s">
        <v>97</v>
      </c>
    </row>
    <row r="112" spans="1:8" x14ac:dyDescent="0.25">
      <c r="A112">
        <v>28</v>
      </c>
      <c r="B112">
        <v>88.456801999999897</v>
      </c>
      <c r="C112">
        <v>26.993442000000002</v>
      </c>
      <c r="D112" t="s">
        <v>89</v>
      </c>
      <c r="E112" t="s">
        <v>79</v>
      </c>
      <c r="F112" t="s">
        <v>94</v>
      </c>
      <c r="G112" t="s">
        <v>95</v>
      </c>
      <c r="H112" t="s">
        <v>97</v>
      </c>
    </row>
    <row r="113" spans="1:8" x14ac:dyDescent="0.25">
      <c r="A113">
        <v>29</v>
      </c>
      <c r="B113">
        <v>88.457622999999899</v>
      </c>
      <c r="C113">
        <v>26.993293999999899</v>
      </c>
      <c r="D113" t="s">
        <v>89</v>
      </c>
      <c r="E113" t="s">
        <v>79</v>
      </c>
      <c r="F113" t="s">
        <v>94</v>
      </c>
      <c r="G113" t="s">
        <v>95</v>
      </c>
      <c r="H113" t="s">
        <v>97</v>
      </c>
    </row>
    <row r="114" spans="1:8" x14ac:dyDescent="0.25">
      <c r="A114">
        <v>30</v>
      </c>
      <c r="B114">
        <v>88.459971999999894</v>
      </c>
      <c r="C114">
        <v>27.000361000000002</v>
      </c>
      <c r="D114" t="s">
        <v>89</v>
      </c>
      <c r="E114" t="s">
        <v>79</v>
      </c>
      <c r="F114" t="s">
        <v>128</v>
      </c>
      <c r="G114" t="s">
        <v>95</v>
      </c>
      <c r="H114" t="s">
        <v>97</v>
      </c>
    </row>
    <row r="115" spans="1:8" x14ac:dyDescent="0.25">
      <c r="A115">
        <v>31</v>
      </c>
      <c r="B115">
        <v>88.459683999999896</v>
      </c>
      <c r="C115">
        <v>26.991879000000001</v>
      </c>
      <c r="D115" t="s">
        <v>89</v>
      </c>
      <c r="E115" t="s">
        <v>79</v>
      </c>
      <c r="F115" t="s">
        <v>94</v>
      </c>
      <c r="G115" t="s">
        <v>95</v>
      </c>
      <c r="H115" t="s">
        <v>97</v>
      </c>
    </row>
    <row r="116" spans="1:8" x14ac:dyDescent="0.25">
      <c r="A116">
        <v>32</v>
      </c>
      <c r="B116">
        <v>88.463802000000001</v>
      </c>
      <c r="C116">
        <v>26.996030000000001</v>
      </c>
      <c r="D116" t="s">
        <v>89</v>
      </c>
      <c r="E116" t="s">
        <v>79</v>
      </c>
      <c r="F116" t="s">
        <v>94</v>
      </c>
      <c r="G116" t="s">
        <v>95</v>
      </c>
      <c r="H116" t="s">
        <v>97</v>
      </c>
    </row>
    <row r="117" spans="1:8" x14ac:dyDescent="0.25">
      <c r="A117">
        <v>33</v>
      </c>
      <c r="B117">
        <v>88.429777000000001</v>
      </c>
      <c r="C117">
        <v>26.990872</v>
      </c>
      <c r="D117" t="s">
        <v>89</v>
      </c>
      <c r="E117" t="s">
        <v>79</v>
      </c>
      <c r="F117" t="s">
        <v>94</v>
      </c>
      <c r="G117" t="s">
        <v>95</v>
      </c>
      <c r="H117" t="s">
        <v>97</v>
      </c>
    </row>
    <row r="118" spans="1:8" x14ac:dyDescent="0.25">
      <c r="A118">
        <v>34</v>
      </c>
      <c r="B118">
        <v>88.423422000000002</v>
      </c>
      <c r="C118">
        <v>26.9912689999999</v>
      </c>
      <c r="D118" t="s">
        <v>89</v>
      </c>
      <c r="E118" t="s">
        <v>148</v>
      </c>
      <c r="F118" t="s">
        <v>94</v>
      </c>
      <c r="G118" t="s">
        <v>95</v>
      </c>
      <c r="H118" t="s">
        <v>97</v>
      </c>
    </row>
    <row r="119" spans="1:8" x14ac:dyDescent="0.25">
      <c r="A119">
        <v>37</v>
      </c>
      <c r="B119">
        <v>88.425944000000001</v>
      </c>
      <c r="C119">
        <v>26.993666999999899</v>
      </c>
      <c r="D119" t="s">
        <v>89</v>
      </c>
      <c r="E119" t="s">
        <v>79</v>
      </c>
      <c r="F119" t="s">
        <v>94</v>
      </c>
      <c r="G119" t="s">
        <v>95</v>
      </c>
      <c r="H119" t="s">
        <v>97</v>
      </c>
    </row>
    <row r="120" spans="1:8" x14ac:dyDescent="0.25">
      <c r="A120">
        <v>38</v>
      </c>
      <c r="B120">
        <v>88.426900000000003</v>
      </c>
      <c r="C120">
        <v>26.996400000000001</v>
      </c>
      <c r="D120" t="s">
        <v>89</v>
      </c>
      <c r="E120" t="s">
        <v>148</v>
      </c>
      <c r="F120" t="s">
        <v>94</v>
      </c>
      <c r="G120" t="s">
        <v>95</v>
      </c>
      <c r="H120" t="s">
        <v>97</v>
      </c>
    </row>
    <row r="121" spans="1:8" x14ac:dyDescent="0.25">
      <c r="A121">
        <v>39</v>
      </c>
      <c r="B121">
        <v>88.426721999999899</v>
      </c>
      <c r="C121">
        <v>26.996444</v>
      </c>
      <c r="D121" t="s">
        <v>89</v>
      </c>
      <c r="E121" t="s">
        <v>148</v>
      </c>
      <c r="F121" t="s">
        <v>94</v>
      </c>
      <c r="G121" t="s">
        <v>95</v>
      </c>
      <c r="H121" t="s">
        <v>97</v>
      </c>
    </row>
    <row r="122" spans="1:8" x14ac:dyDescent="0.25">
      <c r="A122">
        <v>42</v>
      </c>
      <c r="B122">
        <v>88.429528000000005</v>
      </c>
      <c r="C122">
        <v>26.997119000000001</v>
      </c>
      <c r="D122" t="s">
        <v>89</v>
      </c>
      <c r="E122" t="s">
        <v>79</v>
      </c>
      <c r="F122" t="s">
        <v>94</v>
      </c>
      <c r="G122" t="s">
        <v>95</v>
      </c>
      <c r="H122" t="s">
        <v>97</v>
      </c>
    </row>
    <row r="123" spans="1:8" x14ac:dyDescent="0.25">
      <c r="A123">
        <v>44</v>
      </c>
      <c r="B123">
        <v>88.431556</v>
      </c>
      <c r="C123">
        <v>26.9990279999999</v>
      </c>
      <c r="D123" t="s">
        <v>89</v>
      </c>
      <c r="E123" t="s">
        <v>148</v>
      </c>
      <c r="F123" t="s">
        <v>94</v>
      </c>
      <c r="G123" t="s">
        <v>95</v>
      </c>
      <c r="H123" t="s">
        <v>97</v>
      </c>
    </row>
    <row r="124" spans="1:8" x14ac:dyDescent="0.25">
      <c r="A124">
        <v>45</v>
      </c>
      <c r="B124">
        <v>88.431342999999899</v>
      </c>
      <c r="C124">
        <v>26.999586999999899</v>
      </c>
      <c r="D124" t="s">
        <v>89</v>
      </c>
      <c r="E124" t="s">
        <v>148</v>
      </c>
      <c r="F124" t="s">
        <v>94</v>
      </c>
      <c r="G124" t="s">
        <v>95</v>
      </c>
      <c r="H124" t="s">
        <v>97</v>
      </c>
    </row>
    <row r="125" spans="1:8" x14ac:dyDescent="0.25">
      <c r="A125">
        <v>51</v>
      </c>
      <c r="B125">
        <v>88.442306000000002</v>
      </c>
      <c r="C125">
        <v>27.0056669999999</v>
      </c>
      <c r="D125" t="s">
        <v>89</v>
      </c>
      <c r="E125" t="s">
        <v>79</v>
      </c>
      <c r="F125" t="s">
        <v>94</v>
      </c>
      <c r="G125" t="s">
        <v>95</v>
      </c>
      <c r="H125" t="s">
        <v>97</v>
      </c>
    </row>
    <row r="126" spans="1:8" x14ac:dyDescent="0.25">
      <c r="A126">
        <v>52</v>
      </c>
      <c r="B126">
        <v>88.425139000000001</v>
      </c>
      <c r="C126">
        <v>27.0116669999999</v>
      </c>
      <c r="D126" t="s">
        <v>89</v>
      </c>
      <c r="E126" t="s">
        <v>79</v>
      </c>
      <c r="F126" t="s">
        <v>94</v>
      </c>
      <c r="G126" t="s">
        <v>95</v>
      </c>
      <c r="H126" t="s">
        <v>97</v>
      </c>
    </row>
    <row r="127" spans="1:8" x14ac:dyDescent="0.25">
      <c r="A127">
        <v>53</v>
      </c>
      <c r="B127">
        <v>88.435721999999899</v>
      </c>
      <c r="C127">
        <v>27.013750000000002</v>
      </c>
      <c r="D127" t="s">
        <v>89</v>
      </c>
      <c r="E127" t="s">
        <v>79</v>
      </c>
      <c r="F127" t="s">
        <v>94</v>
      </c>
      <c r="G127" t="s">
        <v>95</v>
      </c>
      <c r="H127" t="s">
        <v>97</v>
      </c>
    </row>
    <row r="128" spans="1:8" x14ac:dyDescent="0.25">
      <c r="A128">
        <v>54</v>
      </c>
      <c r="B128">
        <v>88.436708999999894</v>
      </c>
      <c r="C128">
        <v>27.013739000000001</v>
      </c>
      <c r="D128" t="s">
        <v>89</v>
      </c>
      <c r="E128" t="s">
        <v>186</v>
      </c>
      <c r="F128" t="s">
        <v>94</v>
      </c>
      <c r="G128" t="s">
        <v>95</v>
      </c>
      <c r="H128" t="s">
        <v>97</v>
      </c>
    </row>
    <row r="129" spans="1:8" x14ac:dyDescent="0.25">
      <c r="A129">
        <v>55</v>
      </c>
      <c r="B129">
        <v>88.435972000000007</v>
      </c>
      <c r="C129">
        <v>27.0139999999999</v>
      </c>
      <c r="D129" t="s">
        <v>89</v>
      </c>
      <c r="E129" t="s">
        <v>79</v>
      </c>
      <c r="F129" t="s">
        <v>94</v>
      </c>
      <c r="G129" t="s">
        <v>95</v>
      </c>
      <c r="H129" t="s">
        <v>97</v>
      </c>
    </row>
    <row r="130" spans="1:8" x14ac:dyDescent="0.25">
      <c r="A130">
        <v>58</v>
      </c>
      <c r="B130">
        <v>88.435666999999896</v>
      </c>
      <c r="C130">
        <v>27.015277999999899</v>
      </c>
      <c r="D130" t="s">
        <v>89</v>
      </c>
      <c r="E130" t="s">
        <v>79</v>
      </c>
      <c r="F130" t="s">
        <v>94</v>
      </c>
      <c r="G130" t="s">
        <v>95</v>
      </c>
      <c r="H130" t="s">
        <v>97</v>
      </c>
    </row>
    <row r="131" spans="1:8" x14ac:dyDescent="0.25">
      <c r="A131">
        <v>60</v>
      </c>
      <c r="B131">
        <v>88.435039000000003</v>
      </c>
      <c r="C131">
        <v>27.018428</v>
      </c>
      <c r="D131" t="s">
        <v>89</v>
      </c>
      <c r="E131" t="s">
        <v>79</v>
      </c>
      <c r="F131" t="s">
        <v>128</v>
      </c>
      <c r="G131" t="s">
        <v>95</v>
      </c>
      <c r="H131" t="s">
        <v>97</v>
      </c>
    </row>
    <row r="132" spans="1:8" x14ac:dyDescent="0.25">
      <c r="A132">
        <v>63</v>
      </c>
      <c r="B132">
        <v>88.433694000000003</v>
      </c>
      <c r="C132">
        <v>27.023444000000001</v>
      </c>
      <c r="D132" t="s">
        <v>89</v>
      </c>
      <c r="E132" t="s">
        <v>79</v>
      </c>
      <c r="F132" t="s">
        <v>94</v>
      </c>
      <c r="G132" t="s">
        <v>95</v>
      </c>
      <c r="H132" t="s">
        <v>97</v>
      </c>
    </row>
    <row r="133" spans="1:8" x14ac:dyDescent="0.25">
      <c r="A133">
        <v>64</v>
      </c>
      <c r="B133">
        <v>88.460935000000006</v>
      </c>
      <c r="C133">
        <v>26.941112</v>
      </c>
      <c r="D133" t="s">
        <v>89</v>
      </c>
      <c r="E133" t="s">
        <v>148</v>
      </c>
      <c r="F133" t="s">
        <v>94</v>
      </c>
      <c r="G133" t="s">
        <v>95</v>
      </c>
      <c r="H133" t="s">
        <v>97</v>
      </c>
    </row>
    <row r="134" spans="1:8" x14ac:dyDescent="0.25">
      <c r="A134">
        <v>65</v>
      </c>
      <c r="B134">
        <v>88.459767999999897</v>
      </c>
      <c r="C134">
        <v>26.941599</v>
      </c>
      <c r="D134" t="s">
        <v>89</v>
      </c>
      <c r="E134" t="s">
        <v>148</v>
      </c>
      <c r="F134" t="s">
        <v>94</v>
      </c>
      <c r="G134" t="s">
        <v>95</v>
      </c>
      <c r="H134" t="s">
        <v>97</v>
      </c>
    </row>
    <row r="135" spans="1:8" x14ac:dyDescent="0.25">
      <c r="A135">
        <v>66</v>
      </c>
      <c r="B135">
        <v>88.465202000000005</v>
      </c>
      <c r="C135">
        <v>26.941589</v>
      </c>
      <c r="D135" t="s">
        <v>89</v>
      </c>
      <c r="E135" t="s">
        <v>148</v>
      </c>
      <c r="F135" t="s">
        <v>94</v>
      </c>
      <c r="G135" t="s">
        <v>95</v>
      </c>
      <c r="H135" t="s">
        <v>97</v>
      </c>
    </row>
    <row r="136" spans="1:8" x14ac:dyDescent="0.25">
      <c r="A136">
        <v>67</v>
      </c>
      <c r="B136">
        <v>88.450796999999895</v>
      </c>
      <c r="C136">
        <v>26.946594000000001</v>
      </c>
      <c r="D136" t="s">
        <v>89</v>
      </c>
      <c r="E136" t="s">
        <v>148</v>
      </c>
      <c r="F136" t="s">
        <v>94</v>
      </c>
      <c r="G136" t="s">
        <v>95</v>
      </c>
      <c r="H136" t="s">
        <v>97</v>
      </c>
    </row>
    <row r="137" spans="1:8" x14ac:dyDescent="0.25">
      <c r="A137">
        <v>68</v>
      </c>
      <c r="B137">
        <v>88.450773999999896</v>
      </c>
      <c r="C137">
        <v>26.947482000000001</v>
      </c>
      <c r="D137" t="s">
        <v>89</v>
      </c>
      <c r="E137" t="s">
        <v>148</v>
      </c>
      <c r="F137" t="s">
        <v>94</v>
      </c>
      <c r="G137" t="s">
        <v>95</v>
      </c>
      <c r="H137" t="s">
        <v>97</v>
      </c>
    </row>
    <row r="138" spans="1:8" x14ac:dyDescent="0.25">
      <c r="A138">
        <v>69</v>
      </c>
      <c r="B138">
        <v>88.451846000000003</v>
      </c>
      <c r="C138">
        <v>26.948286</v>
      </c>
      <c r="D138" t="s">
        <v>89</v>
      </c>
      <c r="E138" t="s">
        <v>148</v>
      </c>
      <c r="F138" t="s">
        <v>94</v>
      </c>
      <c r="G138" t="s">
        <v>95</v>
      </c>
      <c r="H138" t="s">
        <v>97</v>
      </c>
    </row>
    <row r="139" spans="1:8" x14ac:dyDescent="0.25">
      <c r="A139">
        <v>70</v>
      </c>
      <c r="B139">
        <v>88.451650999999899</v>
      </c>
      <c r="C139">
        <v>26.979403000000001</v>
      </c>
      <c r="D139" t="s">
        <v>89</v>
      </c>
      <c r="E139" t="s">
        <v>79</v>
      </c>
      <c r="F139" t="s">
        <v>94</v>
      </c>
      <c r="G139" t="s">
        <v>95</v>
      </c>
      <c r="H139" t="s">
        <v>97</v>
      </c>
    </row>
    <row r="140" spans="1:8" x14ac:dyDescent="0.25">
      <c r="A140">
        <v>71</v>
      </c>
      <c r="B140">
        <v>88.459693999999899</v>
      </c>
      <c r="C140">
        <v>26.983180000000001</v>
      </c>
      <c r="D140" t="s">
        <v>89</v>
      </c>
      <c r="E140" t="s">
        <v>148</v>
      </c>
      <c r="F140" t="s">
        <v>94</v>
      </c>
      <c r="G140" t="s">
        <v>95</v>
      </c>
      <c r="H140" t="s">
        <v>97</v>
      </c>
    </row>
    <row r="141" spans="1:8" x14ac:dyDescent="0.25">
      <c r="A141">
        <v>72</v>
      </c>
      <c r="B141">
        <v>88.461843000000002</v>
      </c>
      <c r="C141">
        <v>26.983927000000001</v>
      </c>
      <c r="D141" t="s">
        <v>89</v>
      </c>
      <c r="E141" t="s">
        <v>148</v>
      </c>
      <c r="F141" t="s">
        <v>94</v>
      </c>
      <c r="G141" t="s">
        <v>95</v>
      </c>
      <c r="H141" t="s">
        <v>97</v>
      </c>
    </row>
    <row r="142" spans="1:8" x14ac:dyDescent="0.25">
      <c r="A142">
        <v>73</v>
      </c>
      <c r="B142">
        <v>88.465283999999897</v>
      </c>
      <c r="C142">
        <v>26.984995999999899</v>
      </c>
      <c r="D142" t="s">
        <v>89</v>
      </c>
      <c r="E142" t="s">
        <v>79</v>
      </c>
      <c r="F142" t="s">
        <v>94</v>
      </c>
      <c r="G142" t="s">
        <v>95</v>
      </c>
      <c r="H142" t="s">
        <v>97</v>
      </c>
    </row>
    <row r="143" spans="1:8" x14ac:dyDescent="0.25">
      <c r="A143">
        <v>74</v>
      </c>
      <c r="B143">
        <v>88.455018999999893</v>
      </c>
      <c r="C143">
        <v>26.98612</v>
      </c>
      <c r="D143" t="s">
        <v>89</v>
      </c>
      <c r="E143" t="s">
        <v>79</v>
      </c>
      <c r="F143" t="s">
        <v>94</v>
      </c>
      <c r="G143" t="s">
        <v>95</v>
      </c>
      <c r="H143" t="s">
        <v>97</v>
      </c>
    </row>
    <row r="144" spans="1:8" x14ac:dyDescent="0.25">
      <c r="A144">
        <v>75</v>
      </c>
      <c r="B144">
        <v>88.465663000000006</v>
      </c>
      <c r="C144">
        <v>26.986622000000001</v>
      </c>
      <c r="D144" t="s">
        <v>89</v>
      </c>
      <c r="E144" t="s">
        <v>79</v>
      </c>
      <c r="F144" t="s">
        <v>94</v>
      </c>
      <c r="G144" t="s">
        <v>95</v>
      </c>
      <c r="H144" t="s">
        <v>97</v>
      </c>
    </row>
    <row r="145" spans="1:8" x14ac:dyDescent="0.25">
      <c r="A145">
        <v>76</v>
      </c>
      <c r="B145">
        <v>88.455215999999893</v>
      </c>
      <c r="C145">
        <v>26.987192</v>
      </c>
      <c r="D145" t="s">
        <v>89</v>
      </c>
      <c r="E145" t="s">
        <v>79</v>
      </c>
      <c r="F145" t="s">
        <v>94</v>
      </c>
      <c r="G145" t="s">
        <v>95</v>
      </c>
      <c r="H145" t="s">
        <v>97</v>
      </c>
    </row>
    <row r="146" spans="1:8" x14ac:dyDescent="0.25">
      <c r="A146">
        <v>77</v>
      </c>
      <c r="B146">
        <v>88.455813000000006</v>
      </c>
      <c r="C146">
        <v>26.987943000000001</v>
      </c>
      <c r="D146" t="s">
        <v>89</v>
      </c>
      <c r="E146" t="s">
        <v>79</v>
      </c>
      <c r="F146" t="s">
        <v>94</v>
      </c>
      <c r="G146" t="s">
        <v>95</v>
      </c>
      <c r="H146" t="s">
        <v>97</v>
      </c>
    </row>
    <row r="147" spans="1:8" x14ac:dyDescent="0.25">
      <c r="A147">
        <v>78</v>
      </c>
      <c r="B147">
        <v>88.457040000000006</v>
      </c>
      <c r="C147">
        <v>26.9895029999999</v>
      </c>
      <c r="D147" t="s">
        <v>89</v>
      </c>
      <c r="E147" t="s">
        <v>79</v>
      </c>
      <c r="F147" t="s">
        <v>94</v>
      </c>
      <c r="G147" t="s">
        <v>95</v>
      </c>
      <c r="H147" t="s">
        <v>97</v>
      </c>
    </row>
    <row r="148" spans="1:8" x14ac:dyDescent="0.25">
      <c r="A148">
        <v>79</v>
      </c>
      <c r="B148">
        <v>88.459661999999895</v>
      </c>
      <c r="C148">
        <v>26.989840999999899</v>
      </c>
      <c r="D148" t="s">
        <v>89</v>
      </c>
      <c r="E148" t="s">
        <v>79</v>
      </c>
      <c r="F148" t="s">
        <v>94</v>
      </c>
      <c r="G148" t="s">
        <v>95</v>
      </c>
      <c r="H148" t="s">
        <v>97</v>
      </c>
    </row>
    <row r="149" spans="1:8" x14ac:dyDescent="0.25">
      <c r="A149">
        <v>80</v>
      </c>
      <c r="B149">
        <v>88.442575000000005</v>
      </c>
      <c r="C149">
        <v>26.936734999999899</v>
      </c>
      <c r="D149" t="s">
        <v>89</v>
      </c>
      <c r="E149" t="s">
        <v>148</v>
      </c>
      <c r="F149" t="s">
        <v>385</v>
      </c>
      <c r="G149" t="s">
        <v>95</v>
      </c>
      <c r="H149" t="s">
        <v>97</v>
      </c>
    </row>
    <row r="150" spans="1:8" x14ac:dyDescent="0.25">
      <c r="A150">
        <v>81</v>
      </c>
      <c r="B150">
        <v>88.4216219999999</v>
      </c>
      <c r="C150">
        <v>26.938343</v>
      </c>
      <c r="D150" t="s">
        <v>89</v>
      </c>
      <c r="E150" t="s">
        <v>148</v>
      </c>
      <c r="F150" t="s">
        <v>94</v>
      </c>
      <c r="G150" t="s">
        <v>95</v>
      </c>
      <c r="H150" t="s">
        <v>97</v>
      </c>
    </row>
    <row r="151" spans="1:8" x14ac:dyDescent="0.25">
      <c r="A151">
        <v>82</v>
      </c>
      <c r="B151">
        <v>88.441610999999895</v>
      </c>
      <c r="C151">
        <v>26.937297999999899</v>
      </c>
      <c r="D151" t="s">
        <v>89</v>
      </c>
      <c r="E151" t="s">
        <v>79</v>
      </c>
      <c r="F151" t="s">
        <v>94</v>
      </c>
      <c r="G151" t="s">
        <v>95</v>
      </c>
      <c r="H151" t="s">
        <v>97</v>
      </c>
    </row>
    <row r="152" spans="1:8" x14ac:dyDescent="0.25">
      <c r="A152">
        <v>83</v>
      </c>
      <c r="B152">
        <v>88.426029</v>
      </c>
      <c r="C152">
        <v>26.938220999999899</v>
      </c>
      <c r="D152" t="s">
        <v>89</v>
      </c>
      <c r="E152" t="s">
        <v>148</v>
      </c>
      <c r="F152" t="s">
        <v>94</v>
      </c>
      <c r="G152" t="s">
        <v>95</v>
      </c>
      <c r="H152" t="s">
        <v>97</v>
      </c>
    </row>
    <row r="153" spans="1:8" x14ac:dyDescent="0.25">
      <c r="A153">
        <v>87</v>
      </c>
      <c r="B153">
        <v>88.441721999999899</v>
      </c>
      <c r="C153">
        <v>26.937888999999899</v>
      </c>
      <c r="D153" t="s">
        <v>89</v>
      </c>
      <c r="E153" t="s">
        <v>148</v>
      </c>
      <c r="F153" t="s">
        <v>94</v>
      </c>
      <c r="G153" t="s">
        <v>95</v>
      </c>
      <c r="H153" t="s">
        <v>97</v>
      </c>
    </row>
    <row r="154" spans="1:8" x14ac:dyDescent="0.25">
      <c r="A154">
        <v>88</v>
      </c>
      <c r="B154">
        <v>88.413083</v>
      </c>
      <c r="C154">
        <v>26.943943999999899</v>
      </c>
      <c r="D154" t="s">
        <v>89</v>
      </c>
      <c r="E154" t="s">
        <v>79</v>
      </c>
      <c r="F154" t="s">
        <v>94</v>
      </c>
      <c r="G154" t="s">
        <v>95</v>
      </c>
      <c r="H154" t="s">
        <v>97</v>
      </c>
    </row>
    <row r="155" spans="1:8" x14ac:dyDescent="0.25">
      <c r="A155">
        <v>89</v>
      </c>
      <c r="B155">
        <v>88.441000000000003</v>
      </c>
      <c r="C155">
        <v>26.9469999999999</v>
      </c>
      <c r="D155" t="s">
        <v>89</v>
      </c>
      <c r="E155" t="s">
        <v>148</v>
      </c>
      <c r="F155" t="s">
        <v>385</v>
      </c>
      <c r="G155" t="s">
        <v>95</v>
      </c>
      <c r="H155" t="s">
        <v>97</v>
      </c>
    </row>
    <row r="156" spans="1:8" x14ac:dyDescent="0.25">
      <c r="A156">
        <v>90</v>
      </c>
      <c r="B156">
        <v>88.441254000000001</v>
      </c>
      <c r="C156">
        <v>26.948661999999899</v>
      </c>
      <c r="D156" t="s">
        <v>89</v>
      </c>
      <c r="E156" t="s">
        <v>148</v>
      </c>
      <c r="F156" t="s">
        <v>94</v>
      </c>
      <c r="G156" t="s">
        <v>95</v>
      </c>
      <c r="H156" t="s">
        <v>97</v>
      </c>
    </row>
    <row r="157" spans="1:8" x14ac:dyDescent="0.25">
      <c r="A157">
        <v>91</v>
      </c>
      <c r="B157">
        <v>88.401375000000002</v>
      </c>
      <c r="C157">
        <v>26.952369999999899</v>
      </c>
      <c r="D157" t="s">
        <v>89</v>
      </c>
      <c r="E157" t="s">
        <v>79</v>
      </c>
      <c r="F157" t="s">
        <v>94</v>
      </c>
      <c r="G157" t="s">
        <v>95</v>
      </c>
      <c r="H157" t="s">
        <v>97</v>
      </c>
    </row>
    <row r="158" spans="1:8" x14ac:dyDescent="0.25">
      <c r="A158">
        <v>92</v>
      </c>
      <c r="B158">
        <v>88.439527999999896</v>
      </c>
      <c r="C158">
        <v>26.950861</v>
      </c>
      <c r="D158" t="s">
        <v>89</v>
      </c>
      <c r="E158" t="s">
        <v>148</v>
      </c>
      <c r="F158" t="s">
        <v>94</v>
      </c>
      <c r="G158" t="s">
        <v>95</v>
      </c>
      <c r="H158" t="s">
        <v>97</v>
      </c>
    </row>
    <row r="159" spans="1:8" x14ac:dyDescent="0.25">
      <c r="A159">
        <v>93</v>
      </c>
      <c r="B159">
        <v>88.420413999999894</v>
      </c>
      <c r="C159">
        <v>26.953817999999899</v>
      </c>
      <c r="D159" t="s">
        <v>89</v>
      </c>
      <c r="E159" t="s">
        <v>148</v>
      </c>
      <c r="F159" t="s">
        <v>94</v>
      </c>
      <c r="G159" t="s">
        <v>95</v>
      </c>
      <c r="H159" t="s">
        <v>97</v>
      </c>
    </row>
    <row r="160" spans="1:8" x14ac:dyDescent="0.25">
      <c r="A160">
        <v>94</v>
      </c>
      <c r="B160">
        <v>88.424389000000005</v>
      </c>
      <c r="C160">
        <v>26.957083000000001</v>
      </c>
      <c r="D160" t="s">
        <v>89</v>
      </c>
      <c r="E160" t="s">
        <v>148</v>
      </c>
      <c r="F160" t="s">
        <v>94</v>
      </c>
      <c r="G160" t="s">
        <v>95</v>
      </c>
      <c r="H160" t="s">
        <v>97</v>
      </c>
    </row>
    <row r="161" spans="1:8" x14ac:dyDescent="0.25">
      <c r="A161">
        <v>95</v>
      </c>
      <c r="B161">
        <v>88.412115999999898</v>
      </c>
      <c r="C161">
        <v>26.963632</v>
      </c>
      <c r="D161" t="s">
        <v>89</v>
      </c>
      <c r="E161" t="s">
        <v>79</v>
      </c>
      <c r="F161" t="s">
        <v>94</v>
      </c>
      <c r="G161" t="s">
        <v>95</v>
      </c>
      <c r="H161" t="s">
        <v>97</v>
      </c>
    </row>
    <row r="162" spans="1:8" x14ac:dyDescent="0.25">
      <c r="A162">
        <v>96</v>
      </c>
      <c r="B162">
        <v>88.413539999999898</v>
      </c>
      <c r="C162">
        <v>26.963861000000001</v>
      </c>
      <c r="D162" t="s">
        <v>89</v>
      </c>
      <c r="E162" t="s">
        <v>148</v>
      </c>
      <c r="F162" t="s">
        <v>94</v>
      </c>
      <c r="G162" t="s">
        <v>95</v>
      </c>
      <c r="H162" t="s">
        <v>97</v>
      </c>
    </row>
    <row r="163" spans="1:8" x14ac:dyDescent="0.25">
      <c r="A163">
        <v>97</v>
      </c>
      <c r="B163">
        <v>88.428950999999898</v>
      </c>
      <c r="C163">
        <v>26.966270000000002</v>
      </c>
      <c r="D163" t="s">
        <v>89</v>
      </c>
      <c r="E163" t="s">
        <v>148</v>
      </c>
      <c r="F163" t="s">
        <v>94</v>
      </c>
      <c r="G163" t="s">
        <v>95</v>
      </c>
      <c r="H163" t="s">
        <v>97</v>
      </c>
    </row>
    <row r="164" spans="1:8" x14ac:dyDescent="0.25">
      <c r="A164">
        <v>99</v>
      </c>
      <c r="B164">
        <v>88.427149</v>
      </c>
      <c r="C164">
        <v>26.969553999999899</v>
      </c>
      <c r="D164" t="s">
        <v>89</v>
      </c>
      <c r="E164" t="s">
        <v>148</v>
      </c>
      <c r="F164" t="s">
        <v>94</v>
      </c>
      <c r="G164" t="s">
        <v>95</v>
      </c>
      <c r="H164" t="s">
        <v>97</v>
      </c>
    </row>
    <row r="165" spans="1:8" x14ac:dyDescent="0.25">
      <c r="A165">
        <v>100</v>
      </c>
      <c r="B165">
        <v>88.425521000000003</v>
      </c>
      <c r="C165">
        <v>26.969650999999899</v>
      </c>
      <c r="D165" t="s">
        <v>89</v>
      </c>
      <c r="E165" t="s">
        <v>79</v>
      </c>
      <c r="F165" t="s">
        <v>94</v>
      </c>
      <c r="G165" t="s">
        <v>95</v>
      </c>
      <c r="H165" t="s">
        <v>97</v>
      </c>
    </row>
    <row r="166" spans="1:8" x14ac:dyDescent="0.25">
      <c r="A166">
        <v>101</v>
      </c>
      <c r="B166">
        <v>88.417195000000007</v>
      </c>
      <c r="C166">
        <v>26.970389999999899</v>
      </c>
      <c r="D166" t="s">
        <v>89</v>
      </c>
      <c r="E166" t="s">
        <v>148</v>
      </c>
      <c r="F166" t="s">
        <v>94</v>
      </c>
      <c r="G166" t="s">
        <v>95</v>
      </c>
      <c r="H166" t="s">
        <v>97</v>
      </c>
    </row>
    <row r="167" spans="1:8" x14ac:dyDescent="0.25">
      <c r="A167">
        <v>102</v>
      </c>
      <c r="B167">
        <v>88.424661</v>
      </c>
      <c r="C167">
        <v>26.97137</v>
      </c>
      <c r="D167" t="s">
        <v>89</v>
      </c>
      <c r="E167" t="s">
        <v>79</v>
      </c>
      <c r="F167" t="s">
        <v>94</v>
      </c>
      <c r="G167" t="s">
        <v>95</v>
      </c>
      <c r="H167" t="s">
        <v>97</v>
      </c>
    </row>
    <row r="168" spans="1:8" x14ac:dyDescent="0.25">
      <c r="A168">
        <v>103</v>
      </c>
      <c r="B168">
        <v>88.446637999999894</v>
      </c>
      <c r="C168">
        <v>26.971606000000001</v>
      </c>
      <c r="D168" t="s">
        <v>89</v>
      </c>
      <c r="E168" t="s">
        <v>79</v>
      </c>
      <c r="F168" t="s">
        <v>94</v>
      </c>
      <c r="G168" t="s">
        <v>95</v>
      </c>
      <c r="H168" t="s">
        <v>97</v>
      </c>
    </row>
    <row r="169" spans="1:8" x14ac:dyDescent="0.25">
      <c r="A169">
        <v>104</v>
      </c>
      <c r="B169">
        <v>88.418800000000005</v>
      </c>
      <c r="C169">
        <v>26.975300000000001</v>
      </c>
      <c r="D169" t="s">
        <v>89</v>
      </c>
      <c r="E169" t="s">
        <v>79</v>
      </c>
      <c r="F169" t="s">
        <v>94</v>
      </c>
      <c r="G169" t="s">
        <v>95</v>
      </c>
      <c r="H169" t="s">
        <v>97</v>
      </c>
    </row>
    <row r="170" spans="1:8" x14ac:dyDescent="0.25">
      <c r="A170">
        <v>106</v>
      </c>
      <c r="B170">
        <v>88.418983999999895</v>
      </c>
      <c r="C170">
        <v>26.9757029999999</v>
      </c>
      <c r="D170" t="s">
        <v>89</v>
      </c>
      <c r="E170" t="s">
        <v>79</v>
      </c>
      <c r="F170" t="s">
        <v>94</v>
      </c>
      <c r="G170" t="s">
        <v>95</v>
      </c>
      <c r="H170" t="s">
        <v>97</v>
      </c>
    </row>
    <row r="171" spans="1:8" x14ac:dyDescent="0.25">
      <c r="A171">
        <v>107</v>
      </c>
      <c r="B171">
        <v>88.401204000000007</v>
      </c>
      <c r="C171">
        <v>26.9835929999999</v>
      </c>
      <c r="D171" t="s">
        <v>89</v>
      </c>
      <c r="E171" t="s">
        <v>148</v>
      </c>
      <c r="F171" t="s">
        <v>94</v>
      </c>
      <c r="G171" t="s">
        <v>95</v>
      </c>
      <c r="H171" t="s">
        <v>97</v>
      </c>
    </row>
    <row r="172" spans="1:8" x14ac:dyDescent="0.25">
      <c r="A172">
        <v>109</v>
      </c>
      <c r="B172">
        <v>88.420361</v>
      </c>
      <c r="C172">
        <v>26.990694000000001</v>
      </c>
      <c r="D172" t="s">
        <v>89</v>
      </c>
      <c r="E172" t="s">
        <v>148</v>
      </c>
      <c r="F172" t="s">
        <v>94</v>
      </c>
      <c r="G172" t="s">
        <v>95</v>
      </c>
      <c r="H172" t="s">
        <v>97</v>
      </c>
    </row>
    <row r="173" spans="1:8" x14ac:dyDescent="0.25">
      <c r="A173">
        <v>110</v>
      </c>
      <c r="B173">
        <v>88.448605000000001</v>
      </c>
      <c r="C173">
        <v>26.899612999999899</v>
      </c>
      <c r="D173" t="s">
        <v>89</v>
      </c>
      <c r="E173" t="s">
        <v>79</v>
      </c>
      <c r="F173" t="s">
        <v>94</v>
      </c>
      <c r="G173" t="s">
        <v>95</v>
      </c>
      <c r="H173" t="s">
        <v>97</v>
      </c>
    </row>
    <row r="174" spans="1:8" x14ac:dyDescent="0.25">
      <c r="A174">
        <v>111</v>
      </c>
      <c r="B174">
        <v>88.436869000000002</v>
      </c>
      <c r="C174">
        <v>26.901727999999899</v>
      </c>
      <c r="D174" t="s">
        <v>89</v>
      </c>
      <c r="E174" t="s">
        <v>79</v>
      </c>
      <c r="F174" t="s">
        <v>94</v>
      </c>
      <c r="G174" t="s">
        <v>95</v>
      </c>
      <c r="H174" t="s">
        <v>97</v>
      </c>
    </row>
    <row r="175" spans="1:8" x14ac:dyDescent="0.25">
      <c r="A175">
        <v>112</v>
      </c>
      <c r="B175">
        <v>88.443985999999896</v>
      </c>
      <c r="C175">
        <v>26.9105349999999</v>
      </c>
      <c r="D175" t="s">
        <v>89</v>
      </c>
      <c r="E175" t="s">
        <v>148</v>
      </c>
      <c r="F175" t="s">
        <v>94</v>
      </c>
      <c r="G175" t="s">
        <v>95</v>
      </c>
      <c r="H175" t="s">
        <v>97</v>
      </c>
    </row>
    <row r="176" spans="1:8" x14ac:dyDescent="0.25">
      <c r="A176">
        <v>113</v>
      </c>
      <c r="B176">
        <v>88.436431999999897</v>
      </c>
      <c r="C176">
        <v>26.911158</v>
      </c>
      <c r="D176" t="s">
        <v>89</v>
      </c>
      <c r="E176" t="s">
        <v>79</v>
      </c>
      <c r="F176" t="s">
        <v>94</v>
      </c>
      <c r="G176" t="s">
        <v>95</v>
      </c>
      <c r="H176" t="s">
        <v>97</v>
      </c>
    </row>
    <row r="177" spans="1:8" x14ac:dyDescent="0.25">
      <c r="A177">
        <v>114</v>
      </c>
      <c r="B177">
        <v>88.428785000000005</v>
      </c>
      <c r="C177">
        <v>26.914579</v>
      </c>
      <c r="D177" t="s">
        <v>89</v>
      </c>
      <c r="E177" t="s">
        <v>79</v>
      </c>
      <c r="F177" t="s">
        <v>94</v>
      </c>
      <c r="G177" t="s">
        <v>95</v>
      </c>
      <c r="H177" t="s">
        <v>97</v>
      </c>
    </row>
    <row r="178" spans="1:8" x14ac:dyDescent="0.25">
      <c r="A178">
        <v>115</v>
      </c>
      <c r="B178">
        <v>88.466110999999898</v>
      </c>
      <c r="C178">
        <v>26.913917000000001</v>
      </c>
      <c r="D178" t="s">
        <v>89</v>
      </c>
      <c r="E178" t="s">
        <v>148</v>
      </c>
      <c r="F178" t="s">
        <v>128</v>
      </c>
      <c r="G178" t="s">
        <v>95</v>
      </c>
      <c r="H178" t="s">
        <v>97</v>
      </c>
    </row>
    <row r="179" spans="1:8" x14ac:dyDescent="0.25">
      <c r="A179">
        <v>116</v>
      </c>
      <c r="B179">
        <v>88.464499000000004</v>
      </c>
      <c r="C179">
        <v>26.914076000000001</v>
      </c>
      <c r="D179" t="s">
        <v>89</v>
      </c>
      <c r="E179" t="s">
        <v>148</v>
      </c>
      <c r="F179" t="s">
        <v>94</v>
      </c>
      <c r="G179" t="s">
        <v>95</v>
      </c>
      <c r="H179" t="s">
        <v>97</v>
      </c>
    </row>
    <row r="180" spans="1:8" x14ac:dyDescent="0.25">
      <c r="A180">
        <v>117</v>
      </c>
      <c r="B180">
        <v>88.425576000000007</v>
      </c>
      <c r="C180">
        <v>26.916694</v>
      </c>
      <c r="D180" t="s">
        <v>89</v>
      </c>
      <c r="E180" t="s">
        <v>79</v>
      </c>
      <c r="F180" t="s">
        <v>94</v>
      </c>
      <c r="G180" t="s">
        <v>95</v>
      </c>
      <c r="H180" t="s">
        <v>97</v>
      </c>
    </row>
    <row r="181" spans="1:8" x14ac:dyDescent="0.25">
      <c r="A181">
        <v>118</v>
      </c>
      <c r="B181">
        <v>88.452213999999898</v>
      </c>
      <c r="C181">
        <v>26.915537</v>
      </c>
      <c r="D181" t="s">
        <v>89</v>
      </c>
      <c r="E181" t="s">
        <v>79</v>
      </c>
      <c r="F181" t="s">
        <v>94</v>
      </c>
      <c r="G181" t="s">
        <v>95</v>
      </c>
      <c r="H181" t="s">
        <v>97</v>
      </c>
    </row>
    <row r="182" spans="1:8" x14ac:dyDescent="0.25">
      <c r="A182">
        <v>119</v>
      </c>
      <c r="B182">
        <v>88.441365000000005</v>
      </c>
      <c r="C182">
        <v>26.918365000000001</v>
      </c>
      <c r="D182" t="s">
        <v>89</v>
      </c>
      <c r="E182" t="s">
        <v>79</v>
      </c>
      <c r="F182" t="s">
        <v>94</v>
      </c>
      <c r="G182" t="s">
        <v>95</v>
      </c>
      <c r="H182" t="s">
        <v>97</v>
      </c>
    </row>
    <row r="183" spans="1:8" x14ac:dyDescent="0.25">
      <c r="A183">
        <v>120</v>
      </c>
      <c r="B183">
        <v>88.438350999999898</v>
      </c>
      <c r="C183">
        <v>26.920849</v>
      </c>
      <c r="D183" t="s">
        <v>89</v>
      </c>
      <c r="E183" t="s">
        <v>79</v>
      </c>
      <c r="F183" t="s">
        <v>94</v>
      </c>
      <c r="G183" t="s">
        <v>95</v>
      </c>
      <c r="H183" t="s">
        <v>97</v>
      </c>
    </row>
    <row r="184" spans="1:8" x14ac:dyDescent="0.25">
      <c r="A184">
        <v>121</v>
      </c>
      <c r="B184">
        <v>88.465853999999894</v>
      </c>
      <c r="C184">
        <v>26.919463</v>
      </c>
      <c r="D184" t="s">
        <v>89</v>
      </c>
      <c r="E184" t="s">
        <v>79</v>
      </c>
      <c r="F184" t="s">
        <v>94</v>
      </c>
      <c r="G184" t="s">
        <v>95</v>
      </c>
      <c r="H184" t="s">
        <v>97</v>
      </c>
    </row>
    <row r="185" spans="1:8" x14ac:dyDescent="0.25">
      <c r="A185">
        <v>122</v>
      </c>
      <c r="B185">
        <v>88.409096000000005</v>
      </c>
      <c r="C185">
        <v>26.9247739999999</v>
      </c>
      <c r="D185" t="s">
        <v>89</v>
      </c>
      <c r="E185" t="s">
        <v>79</v>
      </c>
      <c r="F185" t="s">
        <v>94</v>
      </c>
      <c r="G185" t="s">
        <v>95</v>
      </c>
      <c r="H185" t="s">
        <v>97</v>
      </c>
    </row>
    <row r="186" spans="1:8" x14ac:dyDescent="0.25">
      <c r="A186">
        <v>123</v>
      </c>
      <c r="B186">
        <v>88.463386</v>
      </c>
      <c r="C186">
        <v>26.9227799999999</v>
      </c>
      <c r="D186" t="s">
        <v>89</v>
      </c>
      <c r="E186" t="s">
        <v>79</v>
      </c>
      <c r="F186" t="s">
        <v>94</v>
      </c>
      <c r="G186" t="s">
        <v>95</v>
      </c>
      <c r="H186" t="s">
        <v>97</v>
      </c>
    </row>
    <row r="187" spans="1:8" x14ac:dyDescent="0.25">
      <c r="A187">
        <v>124</v>
      </c>
      <c r="B187">
        <v>88.424999999999898</v>
      </c>
      <c r="C187">
        <v>26.925000000000001</v>
      </c>
      <c r="D187" t="s">
        <v>89</v>
      </c>
      <c r="E187" t="s">
        <v>148</v>
      </c>
      <c r="F187" t="s">
        <v>94</v>
      </c>
      <c r="G187" t="s">
        <v>95</v>
      </c>
      <c r="H187" t="s">
        <v>97</v>
      </c>
    </row>
    <row r="188" spans="1:8" x14ac:dyDescent="0.25">
      <c r="A188">
        <v>125</v>
      </c>
      <c r="B188">
        <v>88.454624999999893</v>
      </c>
      <c r="C188">
        <v>26.92407</v>
      </c>
      <c r="D188" t="s">
        <v>89</v>
      </c>
      <c r="E188" t="s">
        <v>79</v>
      </c>
      <c r="F188" t="s">
        <v>94</v>
      </c>
      <c r="G188" t="s">
        <v>95</v>
      </c>
      <c r="H188" t="s">
        <v>97</v>
      </c>
    </row>
    <row r="189" spans="1:8" x14ac:dyDescent="0.25">
      <c r="A189">
        <v>126</v>
      </c>
      <c r="B189">
        <v>88.425028999999896</v>
      </c>
      <c r="C189">
        <v>26.925757000000001</v>
      </c>
      <c r="D189" t="s">
        <v>89</v>
      </c>
      <c r="E189" t="s">
        <v>79</v>
      </c>
      <c r="F189" t="s">
        <v>94</v>
      </c>
      <c r="G189" t="s">
        <v>95</v>
      </c>
      <c r="H189" t="s">
        <v>97</v>
      </c>
    </row>
    <row r="190" spans="1:8" x14ac:dyDescent="0.25">
      <c r="A190">
        <v>127</v>
      </c>
      <c r="B190">
        <v>88.420772999999897</v>
      </c>
      <c r="C190">
        <v>26.9263669999999</v>
      </c>
      <c r="D190" t="s">
        <v>89</v>
      </c>
      <c r="E190" t="s">
        <v>79</v>
      </c>
      <c r="F190" t="s">
        <v>94</v>
      </c>
      <c r="G190" t="s">
        <v>95</v>
      </c>
      <c r="H190" t="s">
        <v>97</v>
      </c>
    </row>
    <row r="191" spans="1:8" x14ac:dyDescent="0.25">
      <c r="A191">
        <v>128</v>
      </c>
      <c r="B191">
        <v>88.427000000000007</v>
      </c>
      <c r="C191">
        <v>26.928000000000001</v>
      </c>
      <c r="D191" t="s">
        <v>89</v>
      </c>
      <c r="E191" t="s">
        <v>148</v>
      </c>
      <c r="F191" t="s">
        <v>94</v>
      </c>
      <c r="G191" t="s">
        <v>95</v>
      </c>
      <c r="H191" t="s">
        <v>97</v>
      </c>
    </row>
    <row r="192" spans="1:8" x14ac:dyDescent="0.25">
      <c r="A192">
        <v>129</v>
      </c>
      <c r="B192">
        <v>88.430293000000006</v>
      </c>
      <c r="C192">
        <v>26.928709999999899</v>
      </c>
      <c r="D192" t="s">
        <v>89</v>
      </c>
      <c r="E192" t="s">
        <v>79</v>
      </c>
      <c r="F192" t="s">
        <v>94</v>
      </c>
      <c r="G192" t="s">
        <v>95</v>
      </c>
      <c r="H192" t="s">
        <v>97</v>
      </c>
    </row>
    <row r="193" spans="1:8" x14ac:dyDescent="0.25">
      <c r="A193">
        <v>130</v>
      </c>
      <c r="B193">
        <v>88.442300000000003</v>
      </c>
      <c r="C193">
        <v>26.928885999999899</v>
      </c>
      <c r="D193" t="s">
        <v>89</v>
      </c>
      <c r="E193" t="s">
        <v>79</v>
      </c>
      <c r="F193" t="s">
        <v>94</v>
      </c>
      <c r="G193" t="s">
        <v>95</v>
      </c>
      <c r="H193" t="s">
        <v>97</v>
      </c>
    </row>
    <row r="194" spans="1:8" x14ac:dyDescent="0.25">
      <c r="A194">
        <v>131</v>
      </c>
      <c r="B194">
        <v>88.426893000000007</v>
      </c>
      <c r="C194">
        <v>26.930057999999899</v>
      </c>
      <c r="D194" t="s">
        <v>89</v>
      </c>
      <c r="E194" t="s">
        <v>79</v>
      </c>
      <c r="F194" t="s">
        <v>94</v>
      </c>
      <c r="G194" t="s">
        <v>95</v>
      </c>
      <c r="H194" t="s">
        <v>97</v>
      </c>
    </row>
    <row r="195" spans="1:8" x14ac:dyDescent="0.25">
      <c r="A195">
        <v>132</v>
      </c>
      <c r="B195">
        <v>88.447193999999897</v>
      </c>
      <c r="C195">
        <v>26.929389</v>
      </c>
      <c r="D195" t="s">
        <v>89</v>
      </c>
      <c r="E195" t="s">
        <v>79</v>
      </c>
      <c r="F195" t="s">
        <v>94</v>
      </c>
      <c r="G195" t="s">
        <v>95</v>
      </c>
      <c r="H195" t="s">
        <v>97</v>
      </c>
    </row>
    <row r="196" spans="1:8" x14ac:dyDescent="0.25">
      <c r="A196">
        <v>133</v>
      </c>
      <c r="B196">
        <v>88.433603000000005</v>
      </c>
      <c r="C196">
        <v>26.932241000000001</v>
      </c>
      <c r="D196" t="s">
        <v>89</v>
      </c>
      <c r="E196" t="s">
        <v>79</v>
      </c>
      <c r="F196" t="s">
        <v>94</v>
      </c>
      <c r="G196" t="s">
        <v>95</v>
      </c>
      <c r="H196" t="s">
        <v>97</v>
      </c>
    </row>
    <row r="197" spans="1:8" x14ac:dyDescent="0.25">
      <c r="A197">
        <v>134</v>
      </c>
      <c r="B197">
        <v>88.436976999999899</v>
      </c>
      <c r="C197">
        <v>26.934608999999899</v>
      </c>
      <c r="D197" t="s">
        <v>89</v>
      </c>
      <c r="E197" t="s">
        <v>148</v>
      </c>
      <c r="F197" t="s">
        <v>94</v>
      </c>
      <c r="G197" t="s">
        <v>95</v>
      </c>
      <c r="H197" t="s">
        <v>97</v>
      </c>
    </row>
    <row r="198" spans="1:8" x14ac:dyDescent="0.25">
      <c r="A198">
        <v>135</v>
      </c>
      <c r="B198">
        <v>88.439126000000002</v>
      </c>
      <c r="C198">
        <v>26.88618</v>
      </c>
      <c r="D198" t="s">
        <v>89</v>
      </c>
      <c r="E198" t="s">
        <v>148</v>
      </c>
      <c r="F198" t="s">
        <v>94</v>
      </c>
      <c r="G198" t="s">
        <v>95</v>
      </c>
      <c r="H198" t="s">
        <v>97</v>
      </c>
    </row>
    <row r="199" spans="1:8" x14ac:dyDescent="0.25">
      <c r="A199">
        <v>136</v>
      </c>
      <c r="B199">
        <v>88.462314000000006</v>
      </c>
      <c r="C199">
        <v>26.886854</v>
      </c>
      <c r="D199" t="s">
        <v>89</v>
      </c>
      <c r="E199" t="s">
        <v>79</v>
      </c>
      <c r="F199" t="s">
        <v>94</v>
      </c>
      <c r="G199" t="s">
        <v>95</v>
      </c>
      <c r="H199" t="s">
        <v>97</v>
      </c>
    </row>
    <row r="200" spans="1:8" x14ac:dyDescent="0.25">
      <c r="A200">
        <v>137</v>
      </c>
      <c r="B200">
        <v>88.443695000000005</v>
      </c>
      <c r="C200">
        <v>26.891296000000001</v>
      </c>
      <c r="D200" t="s">
        <v>89</v>
      </c>
      <c r="E200" t="s">
        <v>79</v>
      </c>
      <c r="F200" t="s">
        <v>94</v>
      </c>
      <c r="G200" t="s">
        <v>95</v>
      </c>
      <c r="H200" t="s">
        <v>97</v>
      </c>
    </row>
    <row r="201" spans="1:8" x14ac:dyDescent="0.25">
      <c r="A201">
        <v>138</v>
      </c>
      <c r="B201">
        <v>88.444426000000007</v>
      </c>
      <c r="C201">
        <v>26.892372000000002</v>
      </c>
      <c r="D201" t="s">
        <v>89</v>
      </c>
      <c r="E201" t="s">
        <v>79</v>
      </c>
      <c r="F201" t="s">
        <v>94</v>
      </c>
      <c r="G201" t="s">
        <v>95</v>
      </c>
      <c r="H201" t="s">
        <v>97</v>
      </c>
    </row>
    <row r="202" spans="1:8" x14ac:dyDescent="0.25">
      <c r="A202">
        <v>139</v>
      </c>
      <c r="B202">
        <v>88.439335999999898</v>
      </c>
      <c r="C202">
        <v>26.897155999999899</v>
      </c>
      <c r="D202" t="s">
        <v>89</v>
      </c>
      <c r="E202" t="s">
        <v>79</v>
      </c>
      <c r="F202" t="s">
        <v>94</v>
      </c>
      <c r="G202" t="s">
        <v>95</v>
      </c>
      <c r="H202" t="s">
        <v>97</v>
      </c>
    </row>
    <row r="203" spans="1:8" x14ac:dyDescent="0.25">
      <c r="A203">
        <v>140</v>
      </c>
      <c r="B203">
        <v>88.465511000000006</v>
      </c>
      <c r="C203">
        <v>26.896042999999899</v>
      </c>
      <c r="D203" t="s">
        <v>89</v>
      </c>
      <c r="E203" t="s">
        <v>148</v>
      </c>
      <c r="F203" t="s">
        <v>94</v>
      </c>
      <c r="G203" t="s">
        <v>95</v>
      </c>
      <c r="H203" t="s">
        <v>97</v>
      </c>
    </row>
    <row r="204" spans="1:8" x14ac:dyDescent="0.25">
      <c r="A204">
        <v>141</v>
      </c>
      <c r="B204">
        <v>88.461562000000001</v>
      </c>
      <c r="C204">
        <v>26.896529999999899</v>
      </c>
      <c r="D204" t="s">
        <v>89</v>
      </c>
      <c r="E204" t="s">
        <v>148</v>
      </c>
      <c r="F204" t="s">
        <v>94</v>
      </c>
      <c r="G204" t="s">
        <v>95</v>
      </c>
      <c r="H204" t="s">
        <v>97</v>
      </c>
    </row>
    <row r="205" spans="1:8" x14ac:dyDescent="0.25">
      <c r="A205">
        <v>142</v>
      </c>
      <c r="B205">
        <v>88.447834</v>
      </c>
      <c r="C205">
        <v>26.8982619999999</v>
      </c>
      <c r="D205" t="s">
        <v>89</v>
      </c>
      <c r="E205" t="s">
        <v>79</v>
      </c>
      <c r="F205" t="s">
        <v>94</v>
      </c>
      <c r="G205" t="s">
        <v>95</v>
      </c>
      <c r="H205" t="s">
        <v>97</v>
      </c>
    </row>
    <row r="206" spans="1:8" x14ac:dyDescent="0.25">
      <c r="A206">
        <v>143</v>
      </c>
      <c r="B206">
        <v>88.464269000000002</v>
      </c>
      <c r="C206">
        <v>27.0902689999999</v>
      </c>
      <c r="D206" t="s">
        <v>89</v>
      </c>
      <c r="E206" t="s">
        <v>79</v>
      </c>
      <c r="F206" t="s">
        <v>133</v>
      </c>
      <c r="G206" t="s">
        <v>95</v>
      </c>
      <c r="H206" t="s">
        <v>97</v>
      </c>
    </row>
    <row r="207" spans="1:8" x14ac:dyDescent="0.25">
      <c r="A207">
        <v>144</v>
      </c>
      <c r="B207">
        <v>88.464121000000006</v>
      </c>
      <c r="C207">
        <v>27.0902859999999</v>
      </c>
      <c r="D207" t="s">
        <v>89</v>
      </c>
      <c r="E207" t="s">
        <v>79</v>
      </c>
      <c r="F207" t="s">
        <v>133</v>
      </c>
      <c r="G207" t="s">
        <v>95</v>
      </c>
      <c r="H207" t="s">
        <v>97</v>
      </c>
    </row>
    <row r="208" spans="1:8" x14ac:dyDescent="0.25">
      <c r="A208">
        <v>145</v>
      </c>
      <c r="B208">
        <v>88.465166999999894</v>
      </c>
      <c r="C208">
        <v>27.091588000000002</v>
      </c>
      <c r="D208" t="s">
        <v>89</v>
      </c>
      <c r="E208" t="s">
        <v>79</v>
      </c>
      <c r="F208" t="s">
        <v>94</v>
      </c>
      <c r="G208" t="s">
        <v>95</v>
      </c>
      <c r="H208" t="s">
        <v>97</v>
      </c>
    </row>
    <row r="209" spans="1:8" x14ac:dyDescent="0.25">
      <c r="A209">
        <v>146</v>
      </c>
      <c r="B209">
        <v>88.457443999999896</v>
      </c>
      <c r="C209">
        <v>27.093278000000002</v>
      </c>
      <c r="D209" t="s">
        <v>89</v>
      </c>
      <c r="E209" t="s">
        <v>79</v>
      </c>
      <c r="F209" t="s">
        <v>94</v>
      </c>
      <c r="G209" t="s">
        <v>95</v>
      </c>
      <c r="H209" t="s">
        <v>97</v>
      </c>
    </row>
    <row r="210" spans="1:8" x14ac:dyDescent="0.25">
      <c r="A210">
        <v>148</v>
      </c>
      <c r="B210">
        <v>88.433374999999899</v>
      </c>
      <c r="C210">
        <v>27.096444000000002</v>
      </c>
      <c r="D210" t="s">
        <v>89</v>
      </c>
      <c r="E210" t="s">
        <v>79</v>
      </c>
      <c r="F210" t="s">
        <v>94</v>
      </c>
      <c r="G210" t="s">
        <v>95</v>
      </c>
      <c r="H210" t="s">
        <v>97</v>
      </c>
    </row>
    <row r="211" spans="1:8" x14ac:dyDescent="0.25">
      <c r="A211">
        <v>149</v>
      </c>
      <c r="B211">
        <v>88.458667000000005</v>
      </c>
      <c r="C211">
        <v>27.102</v>
      </c>
      <c r="D211" t="s">
        <v>89</v>
      </c>
      <c r="E211" t="s">
        <v>79</v>
      </c>
      <c r="F211" t="s">
        <v>94</v>
      </c>
      <c r="G211" t="s">
        <v>95</v>
      </c>
      <c r="H211" t="s">
        <v>97</v>
      </c>
    </row>
    <row r="212" spans="1:8" x14ac:dyDescent="0.25">
      <c r="A212">
        <v>152</v>
      </c>
      <c r="B212">
        <v>88.457213999999894</v>
      </c>
      <c r="C212">
        <v>27.072467</v>
      </c>
      <c r="D212" t="s">
        <v>89</v>
      </c>
      <c r="E212" t="s">
        <v>79</v>
      </c>
      <c r="F212" t="s">
        <v>94</v>
      </c>
      <c r="G212" t="s">
        <v>95</v>
      </c>
      <c r="H212" t="s">
        <v>97</v>
      </c>
    </row>
    <row r="213" spans="1:8" x14ac:dyDescent="0.25">
      <c r="A213">
        <v>153</v>
      </c>
      <c r="B213">
        <v>88.457250000000002</v>
      </c>
      <c r="C213">
        <v>27.072583000000002</v>
      </c>
      <c r="D213" t="s">
        <v>89</v>
      </c>
      <c r="E213" t="s">
        <v>79</v>
      </c>
      <c r="F213" t="s">
        <v>94</v>
      </c>
      <c r="G213" t="s">
        <v>95</v>
      </c>
      <c r="H213" t="s">
        <v>97</v>
      </c>
    </row>
    <row r="214" spans="1:8" x14ac:dyDescent="0.25">
      <c r="A214">
        <v>154</v>
      </c>
      <c r="B214">
        <v>88.457250000000002</v>
      </c>
      <c r="C214">
        <v>27.072583000000002</v>
      </c>
      <c r="D214" t="s">
        <v>89</v>
      </c>
      <c r="E214" t="s">
        <v>79</v>
      </c>
      <c r="F214" t="s">
        <v>94</v>
      </c>
      <c r="G214" t="s">
        <v>95</v>
      </c>
      <c r="H214" t="s">
        <v>97</v>
      </c>
    </row>
    <row r="215" spans="1:8" x14ac:dyDescent="0.25">
      <c r="A215">
        <v>155</v>
      </c>
      <c r="B215">
        <v>88.457250000000002</v>
      </c>
      <c r="C215">
        <v>27.072583000000002</v>
      </c>
      <c r="D215" t="s">
        <v>89</v>
      </c>
      <c r="E215" t="s">
        <v>79</v>
      </c>
      <c r="F215" t="s">
        <v>94</v>
      </c>
      <c r="G215" t="s">
        <v>95</v>
      </c>
      <c r="H215" t="s">
        <v>97</v>
      </c>
    </row>
    <row r="216" spans="1:8" x14ac:dyDescent="0.25">
      <c r="A216">
        <v>156</v>
      </c>
      <c r="B216">
        <v>88.457250000000002</v>
      </c>
      <c r="C216">
        <v>27.072583000000002</v>
      </c>
      <c r="D216" t="s">
        <v>72</v>
      </c>
      <c r="E216" t="s">
        <v>79</v>
      </c>
      <c r="F216" t="s">
        <v>94</v>
      </c>
      <c r="G216" t="s">
        <v>95</v>
      </c>
      <c r="H216" t="s">
        <v>97</v>
      </c>
    </row>
    <row r="217" spans="1:8" x14ac:dyDescent="0.25">
      <c r="A217">
        <v>157</v>
      </c>
      <c r="B217">
        <v>88.454860999999894</v>
      </c>
      <c r="C217">
        <v>27.072972</v>
      </c>
      <c r="D217" t="s">
        <v>89</v>
      </c>
      <c r="E217" t="s">
        <v>79</v>
      </c>
      <c r="F217" t="s">
        <v>94</v>
      </c>
      <c r="G217" t="s">
        <v>95</v>
      </c>
      <c r="H217" t="s">
        <v>97</v>
      </c>
    </row>
    <row r="218" spans="1:8" x14ac:dyDescent="0.25">
      <c r="A218">
        <v>160</v>
      </c>
      <c r="B218">
        <v>88.456444000000005</v>
      </c>
      <c r="C218">
        <v>27.082507</v>
      </c>
      <c r="D218" t="s">
        <v>89</v>
      </c>
      <c r="E218" t="s">
        <v>79</v>
      </c>
      <c r="F218" t="s">
        <v>133</v>
      </c>
      <c r="G218" t="s">
        <v>95</v>
      </c>
      <c r="H218" t="s">
        <v>97</v>
      </c>
    </row>
    <row r="219" spans="1:8" x14ac:dyDescent="0.25">
      <c r="A219">
        <v>162</v>
      </c>
      <c r="B219">
        <v>88.457830000000001</v>
      </c>
      <c r="C219">
        <v>27.085666</v>
      </c>
      <c r="D219" t="s">
        <v>89</v>
      </c>
      <c r="E219" t="s">
        <v>79</v>
      </c>
      <c r="F219" t="s">
        <v>94</v>
      </c>
      <c r="G219" t="s">
        <v>95</v>
      </c>
      <c r="H219" t="s">
        <v>97</v>
      </c>
    </row>
    <row r="220" spans="1:8" x14ac:dyDescent="0.25">
      <c r="A220">
        <v>163</v>
      </c>
      <c r="B220">
        <v>88.457853</v>
      </c>
      <c r="C220">
        <v>27.085709000000001</v>
      </c>
      <c r="D220" t="s">
        <v>89</v>
      </c>
      <c r="E220" t="s">
        <v>79</v>
      </c>
      <c r="F220" t="s">
        <v>94</v>
      </c>
      <c r="G220" t="s">
        <v>95</v>
      </c>
      <c r="H220" t="s">
        <v>97</v>
      </c>
    </row>
    <row r="221" spans="1:8" x14ac:dyDescent="0.25">
      <c r="A221">
        <v>164</v>
      </c>
      <c r="B221">
        <v>88.460984999999894</v>
      </c>
      <c r="C221">
        <v>27.0872069999999</v>
      </c>
      <c r="D221" t="s">
        <v>89</v>
      </c>
      <c r="E221" t="s">
        <v>79</v>
      </c>
      <c r="F221" t="s">
        <v>133</v>
      </c>
      <c r="G221" t="s">
        <v>95</v>
      </c>
      <c r="H221" t="s">
        <v>97</v>
      </c>
    </row>
    <row r="222" spans="1:8" x14ac:dyDescent="0.25">
      <c r="A222">
        <v>167</v>
      </c>
      <c r="B222">
        <v>88.406833000000006</v>
      </c>
      <c r="C222">
        <v>27.090944</v>
      </c>
      <c r="D222" t="s">
        <v>89</v>
      </c>
      <c r="E222" t="s">
        <v>79</v>
      </c>
      <c r="F222" t="s">
        <v>94</v>
      </c>
      <c r="G222" t="s">
        <v>95</v>
      </c>
      <c r="H222" t="s">
        <v>97</v>
      </c>
    </row>
    <row r="223" spans="1:8" x14ac:dyDescent="0.25">
      <c r="A223">
        <v>168</v>
      </c>
      <c r="B223">
        <v>88.40925</v>
      </c>
      <c r="C223">
        <v>27.056639000000001</v>
      </c>
      <c r="D223" t="s">
        <v>89</v>
      </c>
      <c r="E223" t="s">
        <v>148</v>
      </c>
      <c r="F223" t="s">
        <v>94</v>
      </c>
      <c r="G223" t="s">
        <v>95</v>
      </c>
      <c r="H223" t="s">
        <v>97</v>
      </c>
    </row>
    <row r="224" spans="1:8" x14ac:dyDescent="0.25">
      <c r="A224">
        <v>169</v>
      </c>
      <c r="B224">
        <v>88.409323999999899</v>
      </c>
      <c r="C224">
        <v>27.0565649999999</v>
      </c>
      <c r="D224" t="s">
        <v>89</v>
      </c>
      <c r="E224" t="s">
        <v>148</v>
      </c>
      <c r="F224" t="s">
        <v>94</v>
      </c>
      <c r="G224" t="s">
        <v>95</v>
      </c>
      <c r="H224" t="s">
        <v>97</v>
      </c>
    </row>
    <row r="225" spans="1:8" x14ac:dyDescent="0.25">
      <c r="A225">
        <v>171</v>
      </c>
      <c r="B225">
        <v>88.413139000000001</v>
      </c>
      <c r="C225">
        <v>27.090083</v>
      </c>
      <c r="D225" t="s">
        <v>89</v>
      </c>
      <c r="E225" t="s">
        <v>79</v>
      </c>
      <c r="F225" t="s">
        <v>94</v>
      </c>
      <c r="G225" t="s">
        <v>95</v>
      </c>
      <c r="H225" t="s">
        <v>97</v>
      </c>
    </row>
    <row r="226" spans="1:8" x14ac:dyDescent="0.25">
      <c r="A226">
        <v>172</v>
      </c>
      <c r="B226">
        <v>88.416528</v>
      </c>
      <c r="C226">
        <v>27.087667</v>
      </c>
      <c r="D226" t="s">
        <v>89</v>
      </c>
      <c r="E226" t="s">
        <v>79</v>
      </c>
      <c r="F226" t="s">
        <v>94</v>
      </c>
      <c r="G226" t="s">
        <v>95</v>
      </c>
      <c r="H226" t="s">
        <v>97</v>
      </c>
    </row>
    <row r="227" spans="1:8" x14ac:dyDescent="0.25">
      <c r="A227">
        <v>175</v>
      </c>
      <c r="B227">
        <v>88.426606000000007</v>
      </c>
      <c r="C227">
        <v>27.066759000000001</v>
      </c>
      <c r="D227" t="s">
        <v>89</v>
      </c>
      <c r="E227" t="s">
        <v>79</v>
      </c>
      <c r="F227" t="s">
        <v>128</v>
      </c>
      <c r="G227" t="s">
        <v>95</v>
      </c>
      <c r="H227" t="s">
        <v>97</v>
      </c>
    </row>
    <row r="228" spans="1:8" x14ac:dyDescent="0.25">
      <c r="A228">
        <v>178</v>
      </c>
      <c r="B228">
        <v>88.427138999999897</v>
      </c>
      <c r="C228">
        <v>27.0669439999999</v>
      </c>
      <c r="D228" t="s">
        <v>89</v>
      </c>
      <c r="E228" t="s">
        <v>148</v>
      </c>
      <c r="F228" t="s">
        <v>128</v>
      </c>
      <c r="G228" t="s">
        <v>95</v>
      </c>
      <c r="H228" t="s">
        <v>97</v>
      </c>
    </row>
    <row r="229" spans="1:8" x14ac:dyDescent="0.25">
      <c r="A229">
        <v>179</v>
      </c>
      <c r="B229">
        <v>88.428134</v>
      </c>
      <c r="C229">
        <v>27.065048000000001</v>
      </c>
      <c r="D229" t="s">
        <v>89</v>
      </c>
      <c r="E229" t="s">
        <v>79</v>
      </c>
      <c r="F229" t="s">
        <v>128</v>
      </c>
      <c r="G229" t="s">
        <v>95</v>
      </c>
      <c r="H229" t="s">
        <v>97</v>
      </c>
    </row>
    <row r="230" spans="1:8" x14ac:dyDescent="0.25">
      <c r="A230">
        <v>180</v>
      </c>
      <c r="B230">
        <v>88.428332999999895</v>
      </c>
      <c r="C230">
        <v>27.066500000000001</v>
      </c>
      <c r="D230" t="s">
        <v>89</v>
      </c>
      <c r="E230" t="s">
        <v>148</v>
      </c>
      <c r="F230" t="s">
        <v>94</v>
      </c>
      <c r="G230" t="s">
        <v>95</v>
      </c>
      <c r="H230" t="s">
        <v>97</v>
      </c>
    </row>
    <row r="231" spans="1:8" x14ac:dyDescent="0.25">
      <c r="A231">
        <v>181</v>
      </c>
      <c r="B231">
        <v>88.428332999999895</v>
      </c>
      <c r="C231">
        <v>27.066500000000001</v>
      </c>
      <c r="D231" t="s">
        <v>89</v>
      </c>
      <c r="E231" t="s">
        <v>148</v>
      </c>
      <c r="F231" t="s">
        <v>94</v>
      </c>
      <c r="G231" t="s">
        <v>95</v>
      </c>
      <c r="H231" t="s">
        <v>97</v>
      </c>
    </row>
    <row r="232" spans="1:8" x14ac:dyDescent="0.25">
      <c r="A232">
        <v>182</v>
      </c>
      <c r="B232">
        <v>88.428332999999895</v>
      </c>
      <c r="C232">
        <v>27.066500000000001</v>
      </c>
      <c r="D232" t="s">
        <v>72</v>
      </c>
      <c r="E232" t="s">
        <v>148</v>
      </c>
      <c r="F232" t="s">
        <v>94</v>
      </c>
      <c r="G232" t="s">
        <v>95</v>
      </c>
      <c r="H232" t="s">
        <v>97</v>
      </c>
    </row>
    <row r="233" spans="1:8" x14ac:dyDescent="0.25">
      <c r="A233">
        <v>183</v>
      </c>
      <c r="B233">
        <v>88.429101000000003</v>
      </c>
      <c r="C233">
        <v>27.066407000000002</v>
      </c>
      <c r="D233" t="s">
        <v>89</v>
      </c>
      <c r="E233" t="s">
        <v>79</v>
      </c>
      <c r="F233" t="s">
        <v>94</v>
      </c>
      <c r="G233" t="s">
        <v>95</v>
      </c>
      <c r="H233" t="s">
        <v>97</v>
      </c>
    </row>
    <row r="234" spans="1:8" x14ac:dyDescent="0.25">
      <c r="A234">
        <v>184</v>
      </c>
      <c r="B234">
        <v>88.429131999999896</v>
      </c>
      <c r="C234">
        <v>27.0664079999999</v>
      </c>
      <c r="D234" t="s">
        <v>89</v>
      </c>
      <c r="E234" t="s">
        <v>79</v>
      </c>
      <c r="F234" t="s">
        <v>94</v>
      </c>
      <c r="G234" t="s">
        <v>95</v>
      </c>
      <c r="H234" t="s">
        <v>97</v>
      </c>
    </row>
    <row r="235" spans="1:8" x14ac:dyDescent="0.25">
      <c r="A235">
        <v>185</v>
      </c>
      <c r="B235">
        <v>88.429710999999898</v>
      </c>
      <c r="C235">
        <v>27.067696000000002</v>
      </c>
      <c r="D235" t="s">
        <v>89</v>
      </c>
      <c r="E235" t="s">
        <v>79</v>
      </c>
      <c r="F235" t="s">
        <v>94</v>
      </c>
      <c r="G235" t="s">
        <v>95</v>
      </c>
      <c r="H235" t="s">
        <v>97</v>
      </c>
    </row>
    <row r="236" spans="1:8" x14ac:dyDescent="0.25">
      <c r="A236">
        <v>186</v>
      </c>
      <c r="B236">
        <v>88.429848000000007</v>
      </c>
      <c r="C236">
        <v>27.069396999999899</v>
      </c>
      <c r="D236" t="s">
        <v>89</v>
      </c>
      <c r="E236" t="s">
        <v>79</v>
      </c>
      <c r="F236" t="s">
        <v>133</v>
      </c>
      <c r="G236" t="s">
        <v>95</v>
      </c>
      <c r="H236" t="s">
        <v>97</v>
      </c>
    </row>
    <row r="237" spans="1:8" x14ac:dyDescent="0.25">
      <c r="A237">
        <v>187</v>
      </c>
      <c r="B237">
        <v>88.429972000000006</v>
      </c>
      <c r="C237">
        <v>27.069693999999899</v>
      </c>
      <c r="D237" t="s">
        <v>89</v>
      </c>
      <c r="E237" t="s">
        <v>148</v>
      </c>
      <c r="F237" t="s">
        <v>385</v>
      </c>
      <c r="G237" t="s">
        <v>95</v>
      </c>
      <c r="H237" t="s">
        <v>97</v>
      </c>
    </row>
    <row r="238" spans="1:8" x14ac:dyDescent="0.25">
      <c r="A238">
        <v>188</v>
      </c>
      <c r="B238">
        <v>88.430027999999893</v>
      </c>
      <c r="C238">
        <v>27.067944000000001</v>
      </c>
      <c r="D238" t="s">
        <v>89</v>
      </c>
      <c r="E238" t="s">
        <v>79</v>
      </c>
      <c r="F238" t="s">
        <v>94</v>
      </c>
      <c r="G238" t="s">
        <v>95</v>
      </c>
      <c r="H238" t="s">
        <v>97</v>
      </c>
    </row>
    <row r="239" spans="1:8" x14ac:dyDescent="0.25">
      <c r="A239">
        <v>195</v>
      </c>
      <c r="B239">
        <v>88.434777999999895</v>
      </c>
      <c r="C239">
        <v>27.082750000000001</v>
      </c>
      <c r="D239" t="s">
        <v>89</v>
      </c>
      <c r="E239" t="s">
        <v>79</v>
      </c>
      <c r="F239" t="s">
        <v>94</v>
      </c>
      <c r="G239" t="s">
        <v>95</v>
      </c>
      <c r="H239" t="s">
        <v>97</v>
      </c>
    </row>
    <row r="240" spans="1:8" x14ac:dyDescent="0.25">
      <c r="A240">
        <v>196</v>
      </c>
      <c r="B240">
        <v>88.433795000000003</v>
      </c>
      <c r="C240">
        <v>27.053173000000001</v>
      </c>
      <c r="D240" t="s">
        <v>89</v>
      </c>
      <c r="E240" t="s">
        <v>186</v>
      </c>
      <c r="F240" t="s">
        <v>94</v>
      </c>
      <c r="G240" t="s">
        <v>95</v>
      </c>
      <c r="H240" t="s">
        <v>97</v>
      </c>
    </row>
    <row r="241" spans="1:8" x14ac:dyDescent="0.25">
      <c r="A241">
        <v>197</v>
      </c>
      <c r="B241">
        <v>88.434172000000004</v>
      </c>
      <c r="C241">
        <v>27.054289000000001</v>
      </c>
      <c r="D241" t="s">
        <v>89</v>
      </c>
      <c r="E241" t="s">
        <v>186</v>
      </c>
      <c r="F241" t="s">
        <v>94</v>
      </c>
      <c r="G241" t="s">
        <v>95</v>
      </c>
      <c r="H241" t="s">
        <v>97</v>
      </c>
    </row>
    <row r="242" spans="1:8" x14ac:dyDescent="0.25">
      <c r="A242">
        <v>198</v>
      </c>
      <c r="B242">
        <v>88.436246999999895</v>
      </c>
      <c r="C242">
        <v>27.073957</v>
      </c>
      <c r="D242" t="s">
        <v>89</v>
      </c>
      <c r="E242" t="s">
        <v>79</v>
      </c>
      <c r="F242" t="s">
        <v>94</v>
      </c>
      <c r="G242" t="s">
        <v>95</v>
      </c>
      <c r="H242" t="s">
        <v>97</v>
      </c>
    </row>
    <row r="243" spans="1:8" x14ac:dyDescent="0.25">
      <c r="A243">
        <v>201</v>
      </c>
      <c r="B243">
        <v>88.436110999999897</v>
      </c>
      <c r="C243">
        <v>27.053944000000001</v>
      </c>
      <c r="D243" t="s">
        <v>89</v>
      </c>
      <c r="E243" t="s">
        <v>148</v>
      </c>
      <c r="F243" t="s">
        <v>94</v>
      </c>
      <c r="G243" t="s">
        <v>95</v>
      </c>
      <c r="H243" t="s">
        <v>97</v>
      </c>
    </row>
    <row r="244" spans="1:8" x14ac:dyDescent="0.25">
      <c r="A244">
        <v>202</v>
      </c>
      <c r="B244">
        <v>88.441225000000003</v>
      </c>
      <c r="C244">
        <v>27.079578000000001</v>
      </c>
      <c r="D244" t="s">
        <v>105</v>
      </c>
      <c r="E244" t="s">
        <v>79</v>
      </c>
      <c r="F244" t="s">
        <v>128</v>
      </c>
      <c r="G244" t="s">
        <v>95</v>
      </c>
      <c r="H244" t="s">
        <v>97</v>
      </c>
    </row>
    <row r="245" spans="1:8" x14ac:dyDescent="0.25">
      <c r="A245">
        <v>204</v>
      </c>
      <c r="B245">
        <v>88.443832999999898</v>
      </c>
      <c r="C245">
        <v>27.0847219999999</v>
      </c>
      <c r="D245" t="s">
        <v>89</v>
      </c>
      <c r="E245" t="s">
        <v>79</v>
      </c>
      <c r="F245" t="s">
        <v>94</v>
      </c>
      <c r="G245" t="s">
        <v>95</v>
      </c>
      <c r="H245" t="s">
        <v>97</v>
      </c>
    </row>
    <row r="246" spans="1:8" x14ac:dyDescent="0.25">
      <c r="A246">
        <v>205</v>
      </c>
      <c r="B246">
        <v>88.441666999999896</v>
      </c>
      <c r="C246">
        <v>27.051666999999899</v>
      </c>
      <c r="D246" t="s">
        <v>89</v>
      </c>
      <c r="E246" t="s">
        <v>186</v>
      </c>
      <c r="F246" t="s">
        <v>94</v>
      </c>
      <c r="G246" t="s">
        <v>95</v>
      </c>
      <c r="H246" t="s">
        <v>97</v>
      </c>
    </row>
    <row r="247" spans="1:8" x14ac:dyDescent="0.25">
      <c r="A247">
        <v>208</v>
      </c>
      <c r="B247">
        <v>88.446083000000002</v>
      </c>
      <c r="C247">
        <v>27.084222</v>
      </c>
      <c r="D247" t="s">
        <v>89</v>
      </c>
      <c r="E247" t="s">
        <v>79</v>
      </c>
      <c r="F247" t="s">
        <v>94</v>
      </c>
      <c r="G247" t="s">
        <v>95</v>
      </c>
      <c r="H247" t="s">
        <v>97</v>
      </c>
    </row>
    <row r="248" spans="1:8" x14ac:dyDescent="0.25">
      <c r="A248">
        <v>210</v>
      </c>
      <c r="B248">
        <v>88.446027999999899</v>
      </c>
      <c r="C248">
        <v>27.082249999999899</v>
      </c>
      <c r="D248" t="s">
        <v>89</v>
      </c>
      <c r="E248" t="s">
        <v>79</v>
      </c>
      <c r="F248" t="s">
        <v>94</v>
      </c>
      <c r="G248" t="s">
        <v>95</v>
      </c>
      <c r="H248" t="s">
        <v>97</v>
      </c>
    </row>
    <row r="249" spans="1:8" x14ac:dyDescent="0.25">
      <c r="A249">
        <v>211</v>
      </c>
      <c r="B249">
        <v>88.446456999999896</v>
      </c>
      <c r="C249">
        <v>27.0808719999999</v>
      </c>
      <c r="D249" t="s">
        <v>89</v>
      </c>
      <c r="E249" t="s">
        <v>79</v>
      </c>
      <c r="F249" t="s">
        <v>94</v>
      </c>
      <c r="G249" t="s">
        <v>95</v>
      </c>
      <c r="H249" t="s">
        <v>97</v>
      </c>
    </row>
    <row r="250" spans="1:8" x14ac:dyDescent="0.25">
      <c r="A250">
        <v>213</v>
      </c>
      <c r="B250">
        <v>88.449639000000005</v>
      </c>
      <c r="C250">
        <v>27.082833000000001</v>
      </c>
      <c r="D250" t="s">
        <v>89</v>
      </c>
      <c r="E250" t="s">
        <v>79</v>
      </c>
      <c r="F250" t="s">
        <v>94</v>
      </c>
      <c r="G250" t="s">
        <v>95</v>
      </c>
      <c r="H250" t="s">
        <v>97</v>
      </c>
    </row>
    <row r="251" spans="1:8" x14ac:dyDescent="0.25">
      <c r="A251">
        <v>214</v>
      </c>
      <c r="B251">
        <v>88.451458000000002</v>
      </c>
      <c r="C251">
        <v>27.0810409999999</v>
      </c>
      <c r="D251" t="s">
        <v>89</v>
      </c>
      <c r="E251" t="s">
        <v>79</v>
      </c>
      <c r="F251" t="s">
        <v>133</v>
      </c>
      <c r="G251" t="s">
        <v>95</v>
      </c>
      <c r="H251" t="s">
        <v>97</v>
      </c>
    </row>
    <row r="252" spans="1:8" x14ac:dyDescent="0.25">
      <c r="A252">
        <v>218</v>
      </c>
      <c r="B252">
        <v>88.452721999999895</v>
      </c>
      <c r="C252">
        <v>27.071138999999899</v>
      </c>
      <c r="D252" t="s">
        <v>89</v>
      </c>
      <c r="E252" t="s">
        <v>79</v>
      </c>
      <c r="F252" t="s">
        <v>94</v>
      </c>
      <c r="G252" t="s">
        <v>95</v>
      </c>
      <c r="H252" t="s">
        <v>97</v>
      </c>
    </row>
    <row r="253" spans="1:8" x14ac:dyDescent="0.25">
      <c r="A253">
        <v>219</v>
      </c>
      <c r="B253">
        <v>88.444556000000006</v>
      </c>
      <c r="C253">
        <v>27.105972000000001</v>
      </c>
      <c r="D253" t="s">
        <v>817</v>
      </c>
      <c r="E253" t="s">
        <v>79</v>
      </c>
      <c r="F253" t="s">
        <v>128</v>
      </c>
      <c r="G253" t="s">
        <v>95</v>
      </c>
      <c r="H253" t="s">
        <v>97</v>
      </c>
    </row>
    <row r="254" spans="1:8" x14ac:dyDescent="0.25">
      <c r="A254">
        <v>220</v>
      </c>
      <c r="B254">
        <v>88.449388999999897</v>
      </c>
      <c r="C254">
        <v>27.106694000000001</v>
      </c>
      <c r="D254" t="s">
        <v>89</v>
      </c>
      <c r="E254" t="s">
        <v>79</v>
      </c>
      <c r="F254" t="s">
        <v>94</v>
      </c>
      <c r="G254" t="s">
        <v>95</v>
      </c>
      <c r="H254" t="s">
        <v>97</v>
      </c>
    </row>
    <row r="255" spans="1:8" x14ac:dyDescent="0.25">
      <c r="A255">
        <v>221</v>
      </c>
      <c r="B255">
        <v>88.433750000000003</v>
      </c>
      <c r="C255">
        <v>27.106943999999899</v>
      </c>
      <c r="D255" t="s">
        <v>817</v>
      </c>
      <c r="E255" t="s">
        <v>148</v>
      </c>
      <c r="F255" t="s">
        <v>385</v>
      </c>
      <c r="G255" t="s">
        <v>95</v>
      </c>
      <c r="H255" t="s">
        <v>97</v>
      </c>
    </row>
    <row r="256" spans="1:8" x14ac:dyDescent="0.25">
      <c r="A256">
        <v>222</v>
      </c>
      <c r="B256">
        <v>88.466354999999893</v>
      </c>
      <c r="C256">
        <v>26.990195</v>
      </c>
      <c r="D256" t="s">
        <v>89</v>
      </c>
      <c r="E256" t="s">
        <v>148</v>
      </c>
      <c r="F256" t="s">
        <v>94</v>
      </c>
      <c r="G256" t="s">
        <v>95</v>
      </c>
      <c r="H256" t="s">
        <v>97</v>
      </c>
    </row>
    <row r="257" spans="1:8" x14ac:dyDescent="0.25">
      <c r="A257">
        <v>224</v>
      </c>
      <c r="B257">
        <v>88.4709229999999</v>
      </c>
      <c r="C257">
        <v>26.9996849999999</v>
      </c>
      <c r="D257" t="s">
        <v>89</v>
      </c>
      <c r="E257" t="s">
        <v>79</v>
      </c>
      <c r="F257" t="s">
        <v>94</v>
      </c>
      <c r="G257" t="s">
        <v>95</v>
      </c>
      <c r="H257" t="s">
        <v>97</v>
      </c>
    </row>
    <row r="258" spans="1:8" x14ac:dyDescent="0.25">
      <c r="A258">
        <v>225</v>
      </c>
      <c r="B258">
        <v>88.470421000000002</v>
      </c>
      <c r="C258">
        <v>26.992017000000001</v>
      </c>
      <c r="D258" t="s">
        <v>89</v>
      </c>
      <c r="E258" t="s">
        <v>148</v>
      </c>
      <c r="F258" t="s">
        <v>94</v>
      </c>
      <c r="G258" t="s">
        <v>95</v>
      </c>
      <c r="H258" t="s">
        <v>97</v>
      </c>
    </row>
    <row r="259" spans="1:8" x14ac:dyDescent="0.25">
      <c r="A259">
        <v>227</v>
      </c>
      <c r="B259">
        <v>88.467168000000001</v>
      </c>
      <c r="C259">
        <v>26.936779999999899</v>
      </c>
      <c r="D259" t="s">
        <v>89</v>
      </c>
      <c r="E259" t="s">
        <v>148</v>
      </c>
      <c r="F259" t="s">
        <v>94</v>
      </c>
      <c r="G259" t="s">
        <v>95</v>
      </c>
      <c r="H259" t="s">
        <v>97</v>
      </c>
    </row>
    <row r="260" spans="1:8" x14ac:dyDescent="0.25">
      <c r="A260">
        <v>228</v>
      </c>
      <c r="B260">
        <v>88.474879999999899</v>
      </c>
      <c r="C260">
        <v>26.980875999999899</v>
      </c>
      <c r="D260" t="s">
        <v>89</v>
      </c>
      <c r="E260" t="s">
        <v>79</v>
      </c>
      <c r="F260" t="s">
        <v>94</v>
      </c>
      <c r="G260" t="s">
        <v>95</v>
      </c>
      <c r="H260" t="s">
        <v>97</v>
      </c>
    </row>
    <row r="261" spans="1:8" x14ac:dyDescent="0.25">
      <c r="A261">
        <v>229</v>
      </c>
      <c r="B261">
        <v>88.467225999999897</v>
      </c>
      <c r="C261">
        <v>26.9102929999999</v>
      </c>
      <c r="D261" t="s">
        <v>89</v>
      </c>
      <c r="E261" t="s">
        <v>148</v>
      </c>
      <c r="F261" t="s">
        <v>94</v>
      </c>
      <c r="G261" t="s">
        <v>95</v>
      </c>
      <c r="H261" t="s">
        <v>97</v>
      </c>
    </row>
    <row r="262" spans="1:8" x14ac:dyDescent="0.25">
      <c r="A262">
        <v>230</v>
      </c>
      <c r="B262">
        <v>88.468556000000007</v>
      </c>
      <c r="C262">
        <v>26.908556000000001</v>
      </c>
      <c r="D262" t="s">
        <v>89</v>
      </c>
      <c r="E262" t="s">
        <v>148</v>
      </c>
      <c r="F262" t="s">
        <v>94</v>
      </c>
      <c r="G262" t="s">
        <v>95</v>
      </c>
      <c r="H262" t="s">
        <v>97</v>
      </c>
    </row>
    <row r="263" spans="1:8" x14ac:dyDescent="0.25">
      <c r="A263">
        <v>231</v>
      </c>
      <c r="B263">
        <v>88.468999999999895</v>
      </c>
      <c r="C263">
        <v>26.913</v>
      </c>
      <c r="D263" t="s">
        <v>89</v>
      </c>
      <c r="E263" t="s">
        <v>79</v>
      </c>
      <c r="F263" t="s">
        <v>128</v>
      </c>
      <c r="G263" t="s">
        <v>95</v>
      </c>
      <c r="H263" t="s">
        <v>97</v>
      </c>
    </row>
    <row r="264" spans="1:8" x14ac:dyDescent="0.25">
      <c r="A264">
        <v>232</v>
      </c>
      <c r="B264">
        <v>88.468958000000001</v>
      </c>
      <c r="C264">
        <v>26.9077559999999</v>
      </c>
      <c r="D264" t="s">
        <v>89</v>
      </c>
      <c r="E264" t="s">
        <v>79</v>
      </c>
      <c r="F264" t="s">
        <v>94</v>
      </c>
      <c r="G264" t="s">
        <v>95</v>
      </c>
      <c r="H264" t="s">
        <v>97</v>
      </c>
    </row>
    <row r="265" spans="1:8" x14ac:dyDescent="0.25">
      <c r="A265">
        <v>233</v>
      </c>
      <c r="B265">
        <v>88.470518999999896</v>
      </c>
      <c r="C265">
        <v>26.904496000000002</v>
      </c>
      <c r="D265" t="s">
        <v>89</v>
      </c>
      <c r="E265" t="s">
        <v>148</v>
      </c>
      <c r="F265" t="s">
        <v>94</v>
      </c>
      <c r="G265" t="s">
        <v>95</v>
      </c>
      <c r="H265" t="s">
        <v>97</v>
      </c>
    </row>
    <row r="266" spans="1:8" x14ac:dyDescent="0.25">
      <c r="A266">
        <v>234</v>
      </c>
      <c r="B266">
        <v>88.470849999999899</v>
      </c>
      <c r="C266">
        <v>26.901453</v>
      </c>
      <c r="D266" t="s">
        <v>89</v>
      </c>
      <c r="E266" t="s">
        <v>79</v>
      </c>
      <c r="F266" t="s">
        <v>94</v>
      </c>
      <c r="G266" t="s">
        <v>95</v>
      </c>
      <c r="H266" t="s">
        <v>97</v>
      </c>
    </row>
    <row r="267" spans="1:8" x14ac:dyDescent="0.25">
      <c r="A267">
        <v>235</v>
      </c>
      <c r="B267">
        <v>88.471328</v>
      </c>
      <c r="C267">
        <v>26.905912000000001</v>
      </c>
      <c r="D267" t="s">
        <v>89</v>
      </c>
      <c r="E267" t="s">
        <v>148</v>
      </c>
      <c r="F267" t="s">
        <v>94</v>
      </c>
      <c r="G267" t="s">
        <v>95</v>
      </c>
      <c r="H267" t="s">
        <v>97</v>
      </c>
    </row>
    <row r="268" spans="1:8" x14ac:dyDescent="0.25">
      <c r="A268">
        <v>236</v>
      </c>
      <c r="B268">
        <v>88.471666999999897</v>
      </c>
      <c r="C268">
        <v>26.906278</v>
      </c>
      <c r="D268" t="s">
        <v>89</v>
      </c>
      <c r="E268" t="s">
        <v>148</v>
      </c>
      <c r="F268" t="s">
        <v>94</v>
      </c>
      <c r="G268" t="s">
        <v>95</v>
      </c>
      <c r="H268" t="s">
        <v>97</v>
      </c>
    </row>
    <row r="269" spans="1:8" x14ac:dyDescent="0.25">
      <c r="A269">
        <v>237</v>
      </c>
      <c r="B269">
        <v>88.471722</v>
      </c>
      <c r="C269">
        <v>26.904444000000002</v>
      </c>
      <c r="D269" t="s">
        <v>89</v>
      </c>
      <c r="E269" t="s">
        <v>148</v>
      </c>
      <c r="F269" t="s">
        <v>94</v>
      </c>
      <c r="G269" t="s">
        <v>95</v>
      </c>
      <c r="H269" t="s">
        <v>97</v>
      </c>
    </row>
    <row r="270" spans="1:8" x14ac:dyDescent="0.25">
      <c r="A270">
        <v>238</v>
      </c>
      <c r="B270">
        <v>88.471666999999897</v>
      </c>
      <c r="C270">
        <v>26.901222000000001</v>
      </c>
      <c r="D270" t="s">
        <v>89</v>
      </c>
      <c r="E270" t="s">
        <v>148</v>
      </c>
      <c r="F270" t="s">
        <v>94</v>
      </c>
      <c r="G270" t="s">
        <v>95</v>
      </c>
      <c r="H270" t="s">
        <v>97</v>
      </c>
    </row>
    <row r="271" spans="1:8" x14ac:dyDescent="0.25">
      <c r="A271">
        <v>239</v>
      </c>
      <c r="B271">
        <v>88.471329999999895</v>
      </c>
      <c r="C271">
        <v>26.892202999999899</v>
      </c>
      <c r="D271" t="s">
        <v>89</v>
      </c>
      <c r="E271" t="s">
        <v>79</v>
      </c>
      <c r="F271" t="s">
        <v>94</v>
      </c>
      <c r="G271" t="s">
        <v>95</v>
      </c>
      <c r="H271" t="s">
        <v>97</v>
      </c>
    </row>
    <row r="272" spans="1:8" x14ac:dyDescent="0.25">
      <c r="A272">
        <v>240</v>
      </c>
      <c r="B272">
        <v>88.472250000000003</v>
      </c>
      <c r="C272">
        <v>26.897877000000001</v>
      </c>
      <c r="D272" t="s">
        <v>89</v>
      </c>
      <c r="E272" t="s">
        <v>148</v>
      </c>
      <c r="F272" t="s">
        <v>94</v>
      </c>
      <c r="G272" t="s">
        <v>95</v>
      </c>
      <c r="H272" t="s">
        <v>97</v>
      </c>
    </row>
    <row r="273" spans="1:8" x14ac:dyDescent="0.25">
      <c r="A273">
        <v>241</v>
      </c>
      <c r="B273">
        <v>88.47475</v>
      </c>
      <c r="C273">
        <v>26.901222000000001</v>
      </c>
      <c r="D273" t="s">
        <v>89</v>
      </c>
      <c r="E273" t="s">
        <v>148</v>
      </c>
      <c r="F273" t="s">
        <v>94</v>
      </c>
      <c r="G273" t="s">
        <v>95</v>
      </c>
      <c r="H273" t="s">
        <v>97</v>
      </c>
    </row>
    <row r="274" spans="1:8" x14ac:dyDescent="0.25">
      <c r="A274">
        <v>242</v>
      </c>
      <c r="B274">
        <v>88.475109000000003</v>
      </c>
      <c r="C274">
        <v>26.904577</v>
      </c>
      <c r="D274" t="s">
        <v>89</v>
      </c>
      <c r="E274" t="s">
        <v>148</v>
      </c>
      <c r="F274" t="s">
        <v>94</v>
      </c>
      <c r="G274" t="s">
        <v>95</v>
      </c>
      <c r="H274" t="s">
        <v>97</v>
      </c>
    </row>
    <row r="275" spans="1:8" x14ac:dyDescent="0.25">
      <c r="A275">
        <v>243</v>
      </c>
      <c r="B275">
        <v>88.476929999999896</v>
      </c>
      <c r="C275">
        <v>26.901861</v>
      </c>
      <c r="D275" t="s">
        <v>89</v>
      </c>
      <c r="E275" t="s">
        <v>148</v>
      </c>
      <c r="F275" t="s">
        <v>94</v>
      </c>
      <c r="G275" t="s">
        <v>95</v>
      </c>
      <c r="H275" t="s">
        <v>97</v>
      </c>
    </row>
    <row r="276" spans="1:8" x14ac:dyDescent="0.25">
      <c r="A276">
        <v>244</v>
      </c>
      <c r="B276">
        <v>88.476996999999898</v>
      </c>
      <c r="C276">
        <v>26.889154999999899</v>
      </c>
      <c r="D276" t="s">
        <v>89</v>
      </c>
      <c r="E276" t="s">
        <v>148</v>
      </c>
      <c r="F276" t="s">
        <v>94</v>
      </c>
      <c r="G276" t="s">
        <v>95</v>
      </c>
      <c r="H276" t="s">
        <v>97</v>
      </c>
    </row>
    <row r="277" spans="1:8" x14ac:dyDescent="0.25">
      <c r="A277">
        <v>246</v>
      </c>
      <c r="B277">
        <v>88.480107000000004</v>
      </c>
      <c r="C277">
        <v>26.922070000000001</v>
      </c>
      <c r="D277" t="s">
        <v>89</v>
      </c>
      <c r="E277" t="s">
        <v>148</v>
      </c>
      <c r="F277" t="s">
        <v>94</v>
      </c>
      <c r="G277" t="s">
        <v>95</v>
      </c>
      <c r="H277" t="s">
        <v>97</v>
      </c>
    </row>
    <row r="278" spans="1:8" x14ac:dyDescent="0.25">
      <c r="A278">
        <v>247</v>
      </c>
      <c r="B278">
        <v>88.480166999999895</v>
      </c>
      <c r="C278">
        <v>27.089694000000001</v>
      </c>
      <c r="D278" t="s">
        <v>89</v>
      </c>
      <c r="E278" t="s">
        <v>79</v>
      </c>
      <c r="F278" t="s">
        <v>94</v>
      </c>
      <c r="G278" t="s">
        <v>95</v>
      </c>
      <c r="H278" t="s">
        <v>97</v>
      </c>
    </row>
    <row r="279" spans="1:8" x14ac:dyDescent="0.25">
      <c r="A279">
        <v>248</v>
      </c>
      <c r="B279">
        <v>88.467534999999899</v>
      </c>
      <c r="C279">
        <v>27.092552999999899</v>
      </c>
      <c r="D279" t="s">
        <v>89</v>
      </c>
      <c r="E279" t="s">
        <v>148</v>
      </c>
      <c r="F279" t="s">
        <v>94</v>
      </c>
      <c r="G279" t="s">
        <v>95</v>
      </c>
      <c r="H279" t="s">
        <v>97</v>
      </c>
    </row>
    <row r="280" spans="1:8" x14ac:dyDescent="0.25">
      <c r="A280">
        <v>252</v>
      </c>
      <c r="B280">
        <v>88.468171999999896</v>
      </c>
      <c r="C280">
        <v>27.0976889999999</v>
      </c>
      <c r="D280" t="s">
        <v>89</v>
      </c>
      <c r="E280" t="s">
        <v>79</v>
      </c>
      <c r="F280" t="s">
        <v>913</v>
      </c>
      <c r="G280" t="s">
        <v>95</v>
      </c>
      <c r="H280" t="s">
        <v>97</v>
      </c>
    </row>
    <row r="281" spans="1:8" x14ac:dyDescent="0.25">
      <c r="A281">
        <v>254</v>
      </c>
      <c r="B281">
        <v>88.471716999999899</v>
      </c>
      <c r="C281">
        <v>27.099813000000001</v>
      </c>
      <c r="D281" t="s">
        <v>89</v>
      </c>
      <c r="E281" t="s">
        <v>79</v>
      </c>
      <c r="F281" t="s">
        <v>94</v>
      </c>
      <c r="G281" t="s">
        <v>95</v>
      </c>
      <c r="H281" t="s">
        <v>97</v>
      </c>
    </row>
    <row r="282" spans="1:8" x14ac:dyDescent="0.25">
      <c r="A282">
        <v>256</v>
      </c>
      <c r="B282">
        <v>88.467500000000001</v>
      </c>
      <c r="C282">
        <v>27.102139000000001</v>
      </c>
      <c r="D282" t="s">
        <v>89</v>
      </c>
      <c r="E282" t="s">
        <v>148</v>
      </c>
      <c r="F282" t="s">
        <v>385</v>
      </c>
      <c r="G282" t="s">
        <v>95</v>
      </c>
      <c r="H282" t="s">
        <v>97</v>
      </c>
    </row>
    <row r="283" spans="1:8" x14ac:dyDescent="0.25">
      <c r="A283">
        <v>258</v>
      </c>
      <c r="B283">
        <v>88.473087000000007</v>
      </c>
      <c r="C283">
        <v>27.08672</v>
      </c>
      <c r="D283" t="s">
        <v>89</v>
      </c>
      <c r="E283" t="s">
        <v>148</v>
      </c>
      <c r="F283" t="s">
        <v>94</v>
      </c>
      <c r="G283" t="s">
        <v>95</v>
      </c>
      <c r="H283" t="s">
        <v>97</v>
      </c>
    </row>
    <row r="284" spans="1:8" x14ac:dyDescent="0.25">
      <c r="A284">
        <v>266</v>
      </c>
      <c r="B284">
        <v>88.47193</v>
      </c>
      <c r="C284">
        <v>27.108577</v>
      </c>
      <c r="D284" t="s">
        <v>89</v>
      </c>
      <c r="E284" t="s">
        <v>79</v>
      </c>
      <c r="F284" t="s">
        <v>94</v>
      </c>
      <c r="G284" t="s">
        <v>95</v>
      </c>
      <c r="H284" t="s">
        <v>97</v>
      </c>
    </row>
    <row r="285" spans="1:8" x14ac:dyDescent="0.25">
      <c r="A285">
        <v>269</v>
      </c>
      <c r="B285">
        <v>88.473218000000003</v>
      </c>
      <c r="C285">
        <v>27.113033000000001</v>
      </c>
      <c r="D285" t="s">
        <v>89</v>
      </c>
      <c r="E285" t="s">
        <v>186</v>
      </c>
      <c r="F285" t="s">
        <v>94</v>
      </c>
      <c r="G285" t="s">
        <v>95</v>
      </c>
      <c r="H285" t="s">
        <v>97</v>
      </c>
    </row>
    <row r="286" spans="1:8" x14ac:dyDescent="0.25">
      <c r="A286">
        <v>270</v>
      </c>
      <c r="B286">
        <v>88.473209999999895</v>
      </c>
      <c r="C286">
        <v>27.1130409999999</v>
      </c>
      <c r="D286" t="s">
        <v>89</v>
      </c>
      <c r="E286" t="s">
        <v>79</v>
      </c>
      <c r="F286" t="s">
        <v>94</v>
      </c>
      <c r="G286" t="s">
        <v>95</v>
      </c>
      <c r="H286" t="s">
        <v>97</v>
      </c>
    </row>
    <row r="287" spans="1:8" x14ac:dyDescent="0.25">
      <c r="A287">
        <v>272</v>
      </c>
      <c r="B287">
        <v>88.430722000000003</v>
      </c>
      <c r="C287">
        <v>27.15625</v>
      </c>
      <c r="D287" t="s">
        <v>89</v>
      </c>
      <c r="E287" t="s">
        <v>79</v>
      </c>
      <c r="F287" t="s">
        <v>94</v>
      </c>
      <c r="G287" t="s">
        <v>95</v>
      </c>
      <c r="H287" t="s">
        <v>97</v>
      </c>
    </row>
    <row r="288" spans="1:8" x14ac:dyDescent="0.25">
      <c r="A288">
        <v>273</v>
      </c>
      <c r="B288">
        <v>88.445082999999897</v>
      </c>
      <c r="C288">
        <v>27.1247779999999</v>
      </c>
      <c r="D288" t="s">
        <v>89</v>
      </c>
      <c r="E288" t="s">
        <v>79</v>
      </c>
      <c r="F288" t="s">
        <v>94</v>
      </c>
      <c r="G288" t="s">
        <v>95</v>
      </c>
      <c r="H288" t="s">
        <v>97</v>
      </c>
    </row>
    <row r="289" spans="1:8" x14ac:dyDescent="0.25">
      <c r="A289">
        <v>274</v>
      </c>
      <c r="B289">
        <v>88.442778000000004</v>
      </c>
      <c r="C289">
        <v>27.1286939999999</v>
      </c>
      <c r="D289" t="s">
        <v>89</v>
      </c>
      <c r="E289" t="s">
        <v>79</v>
      </c>
      <c r="F289" t="s">
        <v>94</v>
      </c>
      <c r="G289" t="s">
        <v>95</v>
      </c>
      <c r="H289" t="s">
        <v>97</v>
      </c>
    </row>
    <row r="290" spans="1:8" x14ac:dyDescent="0.25">
      <c r="A290">
        <v>275</v>
      </c>
      <c r="B290">
        <v>88.441361000000001</v>
      </c>
      <c r="C290">
        <v>27.129000000000001</v>
      </c>
      <c r="D290" t="s">
        <v>89</v>
      </c>
      <c r="E290" t="s">
        <v>79</v>
      </c>
      <c r="F290" t="s">
        <v>94</v>
      </c>
      <c r="G290" t="s">
        <v>95</v>
      </c>
      <c r="H290" t="s">
        <v>97</v>
      </c>
    </row>
    <row r="291" spans="1:8" x14ac:dyDescent="0.25">
      <c r="A291">
        <v>276</v>
      </c>
      <c r="B291">
        <v>88.438500000000005</v>
      </c>
      <c r="C291">
        <v>27.150777999999899</v>
      </c>
      <c r="D291" t="s">
        <v>89</v>
      </c>
      <c r="E291" t="s">
        <v>79</v>
      </c>
      <c r="F291" t="s">
        <v>94</v>
      </c>
      <c r="G291" t="s">
        <v>95</v>
      </c>
      <c r="H291" t="s">
        <v>97</v>
      </c>
    </row>
    <row r="292" spans="1:8" x14ac:dyDescent="0.25">
      <c r="A292">
        <v>277</v>
      </c>
      <c r="B292">
        <v>88.443055999999899</v>
      </c>
      <c r="C292">
        <v>27.154722</v>
      </c>
      <c r="D292" t="s">
        <v>89</v>
      </c>
      <c r="E292" t="s">
        <v>79</v>
      </c>
      <c r="F292" t="s">
        <v>94</v>
      </c>
      <c r="G292" t="s">
        <v>95</v>
      </c>
      <c r="H292" t="s">
        <v>97</v>
      </c>
    </row>
    <row r="293" spans="1:8" x14ac:dyDescent="0.25">
      <c r="A293">
        <v>278</v>
      </c>
      <c r="B293">
        <v>88.444361000000001</v>
      </c>
      <c r="C293">
        <v>27.1591939999999</v>
      </c>
      <c r="D293" t="s">
        <v>89</v>
      </c>
      <c r="E293" t="s">
        <v>79</v>
      </c>
      <c r="F293" t="s">
        <v>94</v>
      </c>
      <c r="G293" t="s">
        <v>95</v>
      </c>
      <c r="H293" t="s">
        <v>97</v>
      </c>
    </row>
    <row r="294" spans="1:8" x14ac:dyDescent="0.25">
      <c r="A294">
        <v>279</v>
      </c>
      <c r="B294">
        <v>88.477753000000007</v>
      </c>
      <c r="C294">
        <v>27.116036999999899</v>
      </c>
      <c r="D294" t="s">
        <v>89</v>
      </c>
      <c r="E294" t="s">
        <v>79</v>
      </c>
      <c r="F294" t="s">
        <v>94</v>
      </c>
      <c r="G294" t="s">
        <v>95</v>
      </c>
      <c r="H294" t="s">
        <v>97</v>
      </c>
    </row>
    <row r="295" spans="1:8" x14ac:dyDescent="0.25">
      <c r="A295">
        <v>280</v>
      </c>
      <c r="B295">
        <v>88.477850000000004</v>
      </c>
      <c r="C295">
        <v>27.116033000000002</v>
      </c>
      <c r="D295" t="s">
        <v>89</v>
      </c>
      <c r="E295" t="s">
        <v>148</v>
      </c>
      <c r="F295" t="s">
        <v>94</v>
      </c>
      <c r="G295" t="s">
        <v>95</v>
      </c>
      <c r="H295" t="s">
        <v>97</v>
      </c>
    </row>
    <row r="296" spans="1:8" x14ac:dyDescent="0.25">
      <c r="A296">
        <v>282</v>
      </c>
      <c r="B296">
        <v>88.490499999999898</v>
      </c>
      <c r="C296">
        <v>27.197417000000002</v>
      </c>
      <c r="D296" t="s">
        <v>89</v>
      </c>
      <c r="E296" t="s">
        <v>148</v>
      </c>
      <c r="F296" t="s">
        <v>94</v>
      </c>
      <c r="G296" t="s">
        <v>95</v>
      </c>
      <c r="H296" t="s">
        <v>97</v>
      </c>
    </row>
    <row r="297" spans="1:8" x14ac:dyDescent="0.25">
      <c r="A297">
        <v>283</v>
      </c>
      <c r="B297">
        <v>88.493949000000001</v>
      </c>
      <c r="C297">
        <v>27.122979000000001</v>
      </c>
      <c r="D297" t="s">
        <v>105</v>
      </c>
      <c r="E297" t="s">
        <v>79</v>
      </c>
      <c r="F297" t="s">
        <v>133</v>
      </c>
      <c r="G297" t="s">
        <v>95</v>
      </c>
      <c r="H297" t="s">
        <v>97</v>
      </c>
    </row>
    <row r="298" spans="1:8" x14ac:dyDescent="0.25">
      <c r="A298">
        <v>284</v>
      </c>
      <c r="B298">
        <v>88.512387000000004</v>
      </c>
      <c r="C298">
        <v>27.133431000000002</v>
      </c>
      <c r="D298" t="s">
        <v>89</v>
      </c>
      <c r="E298" t="s">
        <v>79</v>
      </c>
      <c r="F298" t="s">
        <v>94</v>
      </c>
      <c r="G298" t="s">
        <v>95</v>
      </c>
      <c r="H298" t="s">
        <v>97</v>
      </c>
    </row>
    <row r="299" spans="1:8" x14ac:dyDescent="0.25">
      <c r="A299">
        <v>285</v>
      </c>
      <c r="B299">
        <v>88.540356000000003</v>
      </c>
      <c r="C299">
        <v>27.134978</v>
      </c>
      <c r="D299" t="s">
        <v>89</v>
      </c>
      <c r="E299" t="s">
        <v>186</v>
      </c>
      <c r="F299" t="s">
        <v>94</v>
      </c>
      <c r="G299" t="s">
        <v>95</v>
      </c>
      <c r="H299" t="s">
        <v>97</v>
      </c>
    </row>
    <row r="300" spans="1:8" x14ac:dyDescent="0.25">
      <c r="A300">
        <v>289</v>
      </c>
      <c r="B300">
        <v>88.500332999999898</v>
      </c>
      <c r="C300">
        <v>27.154250000000001</v>
      </c>
      <c r="D300" t="s">
        <v>89</v>
      </c>
      <c r="E300" t="s">
        <v>79</v>
      </c>
      <c r="F300" t="s">
        <v>94</v>
      </c>
      <c r="G300" t="s">
        <v>95</v>
      </c>
      <c r="H300" t="s">
        <v>97</v>
      </c>
    </row>
    <row r="301" spans="1:8" x14ac:dyDescent="0.25">
      <c r="A301">
        <v>290</v>
      </c>
      <c r="B301">
        <v>88.512777999999898</v>
      </c>
      <c r="C301">
        <v>27.157056000000001</v>
      </c>
      <c r="D301" t="s">
        <v>89</v>
      </c>
      <c r="E301" t="s">
        <v>79</v>
      </c>
      <c r="F301" t="s">
        <v>94</v>
      </c>
      <c r="G301" t="s">
        <v>95</v>
      </c>
      <c r="H301" t="s">
        <v>97</v>
      </c>
    </row>
    <row r="302" spans="1:8" x14ac:dyDescent="0.25">
      <c r="A302">
        <v>291</v>
      </c>
      <c r="B302">
        <v>88.522499999999894</v>
      </c>
      <c r="C302">
        <v>27.156806</v>
      </c>
      <c r="D302" t="s">
        <v>89</v>
      </c>
      <c r="E302" t="s">
        <v>148</v>
      </c>
      <c r="F302" t="s">
        <v>385</v>
      </c>
      <c r="G302" t="s">
        <v>95</v>
      </c>
      <c r="H302" t="s">
        <v>97</v>
      </c>
    </row>
    <row r="303" spans="1:8" x14ac:dyDescent="0.25">
      <c r="A303">
        <v>292</v>
      </c>
      <c r="B303">
        <v>88.512472000000002</v>
      </c>
      <c r="C303">
        <v>27.158111000000002</v>
      </c>
      <c r="D303" t="s">
        <v>89</v>
      </c>
      <c r="E303" t="s">
        <v>79</v>
      </c>
      <c r="F303" t="s">
        <v>94</v>
      </c>
      <c r="G303" t="s">
        <v>95</v>
      </c>
      <c r="H303" t="s">
        <v>97</v>
      </c>
    </row>
    <row r="304" spans="1:8" x14ac:dyDescent="0.25">
      <c r="A304">
        <v>293</v>
      </c>
      <c r="B304">
        <v>88.522193999999899</v>
      </c>
      <c r="C304">
        <v>27.1576939999999</v>
      </c>
      <c r="D304" t="s">
        <v>817</v>
      </c>
      <c r="E304" t="s">
        <v>148</v>
      </c>
      <c r="F304" t="s">
        <v>1014</v>
      </c>
      <c r="G304" t="s">
        <v>95</v>
      </c>
      <c r="H304" t="s">
        <v>97</v>
      </c>
    </row>
    <row r="305" spans="1:8" x14ac:dyDescent="0.25">
      <c r="A305">
        <v>294</v>
      </c>
      <c r="B305">
        <v>88.521833000000001</v>
      </c>
      <c r="C305">
        <v>27.1583609999999</v>
      </c>
      <c r="D305" t="s">
        <v>89</v>
      </c>
      <c r="E305" t="s">
        <v>79</v>
      </c>
      <c r="F305" t="s">
        <v>94</v>
      </c>
      <c r="G305" t="s">
        <v>95</v>
      </c>
      <c r="H305" t="s">
        <v>97</v>
      </c>
    </row>
    <row r="306" spans="1:8" x14ac:dyDescent="0.25">
      <c r="A306">
        <v>295</v>
      </c>
      <c r="B306">
        <v>88.514611000000002</v>
      </c>
      <c r="C306">
        <v>27.158971999999899</v>
      </c>
      <c r="D306" t="s">
        <v>89</v>
      </c>
      <c r="E306" t="s">
        <v>148</v>
      </c>
      <c r="F306" t="s">
        <v>385</v>
      </c>
      <c r="G306" t="s">
        <v>95</v>
      </c>
      <c r="H306" t="s">
        <v>97</v>
      </c>
    </row>
    <row r="307" spans="1:8" x14ac:dyDescent="0.25">
      <c r="A307">
        <v>297</v>
      </c>
      <c r="B307">
        <v>88.505888999999897</v>
      </c>
      <c r="C307">
        <v>27.160722</v>
      </c>
      <c r="D307" t="s">
        <v>89</v>
      </c>
      <c r="E307" t="s">
        <v>79</v>
      </c>
      <c r="F307" t="s">
        <v>94</v>
      </c>
      <c r="G307" t="s">
        <v>95</v>
      </c>
      <c r="H307" t="s">
        <v>97</v>
      </c>
    </row>
    <row r="308" spans="1:8" x14ac:dyDescent="0.25">
      <c r="A308">
        <v>298</v>
      </c>
      <c r="B308">
        <v>88.512472000000002</v>
      </c>
      <c r="C308">
        <v>27.160443999999899</v>
      </c>
      <c r="D308" t="s">
        <v>89</v>
      </c>
      <c r="E308" t="s">
        <v>148</v>
      </c>
      <c r="F308" t="s">
        <v>385</v>
      </c>
      <c r="G308" t="s">
        <v>95</v>
      </c>
      <c r="H308" t="s">
        <v>97</v>
      </c>
    </row>
    <row r="309" spans="1:8" x14ac:dyDescent="0.25">
      <c r="A309">
        <v>300</v>
      </c>
      <c r="B309">
        <v>88.543000000000006</v>
      </c>
      <c r="C309">
        <v>27.158999999999899</v>
      </c>
      <c r="D309" t="s">
        <v>89</v>
      </c>
      <c r="E309" t="s">
        <v>79</v>
      </c>
      <c r="F309" t="s">
        <v>133</v>
      </c>
      <c r="G309" t="s">
        <v>95</v>
      </c>
      <c r="H309" t="s">
        <v>97</v>
      </c>
    </row>
    <row r="310" spans="1:8" x14ac:dyDescent="0.25">
      <c r="A310">
        <v>301</v>
      </c>
      <c r="B310">
        <v>88.512944000000005</v>
      </c>
      <c r="C310">
        <v>27.161306</v>
      </c>
      <c r="D310" t="s">
        <v>89</v>
      </c>
      <c r="E310" t="s">
        <v>79</v>
      </c>
      <c r="F310" t="s">
        <v>94</v>
      </c>
      <c r="G310" t="s">
        <v>95</v>
      </c>
      <c r="H310" t="s">
        <v>97</v>
      </c>
    </row>
    <row r="311" spans="1:8" x14ac:dyDescent="0.25">
      <c r="A311">
        <v>302</v>
      </c>
      <c r="B311">
        <v>88.509639000000007</v>
      </c>
      <c r="C311">
        <v>27.1619169999999</v>
      </c>
      <c r="D311" t="s">
        <v>89</v>
      </c>
      <c r="E311" t="s">
        <v>79</v>
      </c>
      <c r="F311" t="s">
        <v>94</v>
      </c>
      <c r="G311" t="s">
        <v>95</v>
      </c>
      <c r="H311" t="s">
        <v>97</v>
      </c>
    </row>
    <row r="312" spans="1:8" x14ac:dyDescent="0.25">
      <c r="A312">
        <v>303</v>
      </c>
      <c r="B312">
        <v>88.510610999999898</v>
      </c>
      <c r="C312">
        <v>27.162194</v>
      </c>
      <c r="D312" t="s">
        <v>89</v>
      </c>
      <c r="E312" t="s">
        <v>79</v>
      </c>
      <c r="F312" t="s">
        <v>94</v>
      </c>
      <c r="G312" t="s">
        <v>95</v>
      </c>
      <c r="H312" t="s">
        <v>97</v>
      </c>
    </row>
    <row r="313" spans="1:8" x14ac:dyDescent="0.25">
      <c r="A313">
        <v>304</v>
      </c>
      <c r="B313">
        <v>88.519999999999897</v>
      </c>
      <c r="C313">
        <v>27.163861000000001</v>
      </c>
      <c r="D313" t="s">
        <v>89</v>
      </c>
      <c r="E313" t="s">
        <v>79</v>
      </c>
      <c r="F313" t="s">
        <v>94</v>
      </c>
      <c r="G313" t="s">
        <v>95</v>
      </c>
      <c r="H313" t="s">
        <v>97</v>
      </c>
    </row>
    <row r="314" spans="1:8" x14ac:dyDescent="0.25">
      <c r="A314">
        <v>307</v>
      </c>
      <c r="B314">
        <v>88.519778000000002</v>
      </c>
      <c r="C314">
        <v>27.179639000000002</v>
      </c>
      <c r="D314" t="s">
        <v>89</v>
      </c>
      <c r="E314" t="s">
        <v>79</v>
      </c>
      <c r="F314" t="s">
        <v>94</v>
      </c>
      <c r="G314" t="s">
        <v>95</v>
      </c>
      <c r="H314" t="s">
        <v>97</v>
      </c>
    </row>
    <row r="315" spans="1:8" x14ac:dyDescent="0.25">
      <c r="A315">
        <v>309</v>
      </c>
      <c r="B315">
        <v>88.5102499999999</v>
      </c>
      <c r="C315">
        <v>27.180416999999899</v>
      </c>
      <c r="D315" t="s">
        <v>89</v>
      </c>
      <c r="E315" t="s">
        <v>148</v>
      </c>
      <c r="F315" t="s">
        <v>94</v>
      </c>
      <c r="G315" t="s">
        <v>95</v>
      </c>
      <c r="H315" t="s">
        <v>97</v>
      </c>
    </row>
    <row r="316" spans="1:8" x14ac:dyDescent="0.25">
      <c r="A316">
        <v>310</v>
      </c>
      <c r="B316">
        <v>88.518611000000007</v>
      </c>
      <c r="C316">
        <v>27.180527999999899</v>
      </c>
      <c r="D316" t="s">
        <v>89</v>
      </c>
      <c r="E316" t="s">
        <v>79</v>
      </c>
      <c r="F316" t="s">
        <v>94</v>
      </c>
      <c r="G316" t="s">
        <v>95</v>
      </c>
      <c r="H316" t="s">
        <v>97</v>
      </c>
    </row>
    <row r="317" spans="1:8" x14ac:dyDescent="0.25">
      <c r="A317">
        <v>311</v>
      </c>
      <c r="B317">
        <v>88.507999999999896</v>
      </c>
      <c r="C317">
        <v>27.1821109999999</v>
      </c>
      <c r="D317" t="s">
        <v>89</v>
      </c>
      <c r="E317" t="s">
        <v>148</v>
      </c>
      <c r="F317" t="s">
        <v>94</v>
      </c>
      <c r="G317" t="s">
        <v>95</v>
      </c>
      <c r="H317" t="s">
        <v>97</v>
      </c>
    </row>
    <row r="318" spans="1:8" x14ac:dyDescent="0.25">
      <c r="A318">
        <v>312</v>
      </c>
      <c r="B318">
        <v>88.501193999999899</v>
      </c>
      <c r="C318">
        <v>27.188528000000002</v>
      </c>
      <c r="D318" t="s">
        <v>89</v>
      </c>
      <c r="E318" t="s">
        <v>148</v>
      </c>
      <c r="F318" t="s">
        <v>94</v>
      </c>
      <c r="G318" t="s">
        <v>95</v>
      </c>
      <c r="H318" t="s">
        <v>97</v>
      </c>
    </row>
    <row r="319" spans="1:8" x14ac:dyDescent="0.25">
      <c r="A319">
        <v>319</v>
      </c>
      <c r="B319">
        <v>88.491339999999894</v>
      </c>
      <c r="C319">
        <v>27.122093</v>
      </c>
      <c r="D319" t="s">
        <v>89</v>
      </c>
      <c r="E319" t="s">
        <v>79</v>
      </c>
      <c r="F319" t="s">
        <v>94</v>
      </c>
      <c r="G319" t="s">
        <v>95</v>
      </c>
      <c r="H319" t="s">
        <v>97</v>
      </c>
    </row>
    <row r="320" spans="1:8" x14ac:dyDescent="0.25">
      <c r="A320">
        <v>320</v>
      </c>
      <c r="B320">
        <v>88.491249999999894</v>
      </c>
      <c r="C320">
        <v>27.123434</v>
      </c>
      <c r="D320" t="s">
        <v>105</v>
      </c>
      <c r="E320" t="s">
        <v>79</v>
      </c>
      <c r="F320" t="s">
        <v>94</v>
      </c>
      <c r="G320" t="s">
        <v>95</v>
      </c>
      <c r="H320" t="s">
        <v>97</v>
      </c>
    </row>
    <row r="321" spans="1:8" x14ac:dyDescent="0.25">
      <c r="A321">
        <v>322</v>
      </c>
      <c r="B321">
        <v>88.490673999999899</v>
      </c>
      <c r="C321">
        <v>27.124333</v>
      </c>
      <c r="D321" t="s">
        <v>89</v>
      </c>
      <c r="E321" t="s">
        <v>79</v>
      </c>
      <c r="F321" t="s">
        <v>133</v>
      </c>
      <c r="G321" t="s">
        <v>95</v>
      </c>
      <c r="H321" t="s">
        <v>97</v>
      </c>
    </row>
    <row r="322" spans="1:8" x14ac:dyDescent="0.25">
      <c r="A322">
        <v>323</v>
      </c>
      <c r="B322">
        <v>88.490690999999899</v>
      </c>
      <c r="C322">
        <v>27.124334999999899</v>
      </c>
      <c r="D322" t="s">
        <v>89</v>
      </c>
      <c r="E322" t="s">
        <v>186</v>
      </c>
      <c r="F322" t="s">
        <v>94</v>
      </c>
      <c r="G322" t="s">
        <v>95</v>
      </c>
      <c r="H322" t="s">
        <v>97</v>
      </c>
    </row>
    <row r="323" spans="1:8" x14ac:dyDescent="0.25">
      <c r="A323">
        <v>325</v>
      </c>
      <c r="B323">
        <v>88.493194000000003</v>
      </c>
      <c r="C323">
        <v>27.154889000000001</v>
      </c>
      <c r="D323" t="s">
        <v>89</v>
      </c>
      <c r="E323" t="s">
        <v>79</v>
      </c>
      <c r="F323" t="s">
        <v>94</v>
      </c>
      <c r="G323" t="s">
        <v>95</v>
      </c>
      <c r="H323" t="s">
        <v>97</v>
      </c>
    </row>
    <row r="324" spans="1:8" x14ac:dyDescent="0.25">
      <c r="A324">
        <v>326</v>
      </c>
      <c r="B324">
        <v>88.491721999999896</v>
      </c>
      <c r="C324">
        <v>27.158111000000002</v>
      </c>
      <c r="D324" t="s">
        <v>89</v>
      </c>
      <c r="E324" t="s">
        <v>79</v>
      </c>
      <c r="F324" t="s">
        <v>94</v>
      </c>
      <c r="G324" t="s">
        <v>95</v>
      </c>
      <c r="H324" t="s">
        <v>97</v>
      </c>
    </row>
    <row r="325" spans="1:8" x14ac:dyDescent="0.25">
      <c r="A325">
        <v>327</v>
      </c>
      <c r="B325">
        <v>88.491444000000001</v>
      </c>
      <c r="C325">
        <v>27.1621109999999</v>
      </c>
      <c r="D325" t="s">
        <v>89</v>
      </c>
      <c r="E325" t="s">
        <v>148</v>
      </c>
      <c r="F325" t="s">
        <v>385</v>
      </c>
      <c r="G325" t="s">
        <v>95</v>
      </c>
      <c r="H325" t="s">
        <v>97</v>
      </c>
    </row>
    <row r="326" spans="1:8" x14ac:dyDescent="0.25">
      <c r="A326">
        <v>328</v>
      </c>
      <c r="B326">
        <v>88.496555999999899</v>
      </c>
      <c r="C326">
        <v>27.165527999999899</v>
      </c>
      <c r="D326" t="s">
        <v>89</v>
      </c>
      <c r="E326" t="s">
        <v>79</v>
      </c>
      <c r="F326" t="s">
        <v>94</v>
      </c>
      <c r="G326" t="s">
        <v>95</v>
      </c>
      <c r="H326" t="s">
        <v>97</v>
      </c>
    </row>
    <row r="327" spans="1:8" x14ac:dyDescent="0.25">
      <c r="A327">
        <v>331</v>
      </c>
      <c r="B327">
        <v>88.523083</v>
      </c>
      <c r="C327">
        <v>27.119389000000002</v>
      </c>
      <c r="D327" t="s">
        <v>105</v>
      </c>
      <c r="E327" t="s">
        <v>79</v>
      </c>
      <c r="F327" t="s">
        <v>128</v>
      </c>
      <c r="G327" t="s">
        <v>95</v>
      </c>
      <c r="H327" t="s">
        <v>97</v>
      </c>
    </row>
    <row r="328" spans="1:8" x14ac:dyDescent="0.25">
      <c r="A328">
        <v>332</v>
      </c>
      <c r="B328">
        <v>88.499224999999896</v>
      </c>
      <c r="C328">
        <v>27.120920000000002</v>
      </c>
      <c r="D328" t="s">
        <v>89</v>
      </c>
      <c r="E328" t="s">
        <v>148</v>
      </c>
      <c r="F328" t="s">
        <v>94</v>
      </c>
      <c r="G328" t="s">
        <v>95</v>
      </c>
      <c r="H328" t="s">
        <v>97</v>
      </c>
    </row>
    <row r="329" spans="1:8" x14ac:dyDescent="0.25">
      <c r="A329">
        <v>333</v>
      </c>
      <c r="B329">
        <v>88.499189000000001</v>
      </c>
      <c r="C329">
        <v>27.120961000000001</v>
      </c>
      <c r="D329" t="s">
        <v>89</v>
      </c>
      <c r="E329" t="s">
        <v>79</v>
      </c>
      <c r="F329" t="s">
        <v>94</v>
      </c>
      <c r="G329" t="s">
        <v>95</v>
      </c>
      <c r="H329" t="s">
        <v>97</v>
      </c>
    </row>
    <row r="330" spans="1:8" x14ac:dyDescent="0.25">
      <c r="A330">
        <v>335</v>
      </c>
      <c r="B330">
        <v>88.501597000000004</v>
      </c>
      <c r="C330">
        <v>27.122285000000002</v>
      </c>
      <c r="D330" t="s">
        <v>89</v>
      </c>
      <c r="E330" t="s">
        <v>148</v>
      </c>
      <c r="F330" t="s">
        <v>94</v>
      </c>
      <c r="G330" t="s">
        <v>95</v>
      </c>
      <c r="H330" t="s">
        <v>97</v>
      </c>
    </row>
    <row r="331" spans="1:8" x14ac:dyDescent="0.25">
      <c r="A331">
        <v>108</v>
      </c>
      <c r="B331">
        <v>88.418582999999899</v>
      </c>
      <c r="C331">
        <v>26.989166999999899</v>
      </c>
      <c r="D331" t="s">
        <v>89</v>
      </c>
      <c r="E331" t="s">
        <v>148</v>
      </c>
      <c r="F331" t="s">
        <v>94</v>
      </c>
      <c r="G331" t="s">
        <v>443</v>
      </c>
      <c r="H331" t="s">
        <v>72</v>
      </c>
    </row>
    <row r="332" spans="1:8" x14ac:dyDescent="0.25">
      <c r="A332">
        <v>98</v>
      </c>
      <c r="B332">
        <v>88.402944000000005</v>
      </c>
      <c r="C332">
        <v>26.970167</v>
      </c>
      <c r="D332" t="s">
        <v>89</v>
      </c>
      <c r="E332" t="s">
        <v>148</v>
      </c>
      <c r="F332" t="s">
        <v>94</v>
      </c>
      <c r="G332" t="s">
        <v>443</v>
      </c>
      <c r="H332" t="s">
        <v>97</v>
      </c>
    </row>
    <row r="333" spans="1:8" x14ac:dyDescent="0.25">
      <c r="A333">
        <v>105</v>
      </c>
      <c r="B333">
        <v>88.423917000000003</v>
      </c>
      <c r="C333">
        <v>26.9752779999999</v>
      </c>
      <c r="D333" t="s">
        <v>89</v>
      </c>
      <c r="E333" t="s">
        <v>148</v>
      </c>
      <c r="F333" t="s">
        <v>94</v>
      </c>
      <c r="G333" t="s">
        <v>443</v>
      </c>
      <c r="H333" t="s">
        <v>97</v>
      </c>
    </row>
    <row r="334" spans="1:8" x14ac:dyDescent="0.25">
      <c r="A334">
        <v>170</v>
      </c>
      <c r="B334">
        <v>88.412778000000003</v>
      </c>
      <c r="C334">
        <v>27.089917</v>
      </c>
      <c r="D334" t="s">
        <v>89</v>
      </c>
      <c r="E334" t="s">
        <v>148</v>
      </c>
      <c r="F334" t="s">
        <v>94</v>
      </c>
      <c r="G334" t="s">
        <v>443</v>
      </c>
      <c r="H334" t="s">
        <v>97</v>
      </c>
    </row>
    <row r="335" spans="1:8" x14ac:dyDescent="0.25">
      <c r="A335">
        <v>296</v>
      </c>
      <c r="B335">
        <v>88.528999999999897</v>
      </c>
      <c r="C335">
        <v>27.1585</v>
      </c>
      <c r="D335" t="s">
        <v>89</v>
      </c>
      <c r="E335" t="s">
        <v>148</v>
      </c>
      <c r="F335" t="s">
        <v>94</v>
      </c>
      <c r="G335" t="s">
        <v>443</v>
      </c>
      <c r="H335" t="s">
        <v>97</v>
      </c>
    </row>
    <row r="336" spans="1:8" x14ac:dyDescent="0.25">
      <c r="A336">
        <v>308</v>
      </c>
      <c r="B336">
        <v>88.533111000000005</v>
      </c>
      <c r="C336">
        <v>27.1790559999999</v>
      </c>
      <c r="D336" t="s">
        <v>89</v>
      </c>
      <c r="E336" t="s">
        <v>148</v>
      </c>
      <c r="F336" t="s">
        <v>94</v>
      </c>
      <c r="G336" t="s">
        <v>443</v>
      </c>
      <c r="H336" t="s">
        <v>97</v>
      </c>
    </row>
    <row r="337" spans="1:4" x14ac:dyDescent="0.25">
      <c r="A337">
        <v>176</v>
      </c>
      <c r="B337">
        <v>88.426754000000003</v>
      </c>
      <c r="C337">
        <v>27.066890000000001</v>
      </c>
      <c r="D337" t="s">
        <v>89</v>
      </c>
    </row>
    <row r="338" spans="1:4" x14ac:dyDescent="0.25">
      <c r="A338" t="s">
        <v>0</v>
      </c>
    </row>
  </sheetData>
  <sortState ref="A2:H338">
    <sortCondition ref="G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F03CD-D1DF-45C5-8A7F-98E5F711D55B}">
  <dimension ref="A1:K15"/>
  <sheetViews>
    <sheetView workbookViewId="0">
      <selection activeCell="H1" sqref="H1"/>
    </sheetView>
  </sheetViews>
  <sheetFormatPr defaultRowHeight="15" x14ac:dyDescent="0.25"/>
  <cols>
    <col min="1" max="1" width="15.28515625" bestFit="1" customWidth="1"/>
    <col min="3" max="3" width="12" bestFit="1" customWidth="1"/>
  </cols>
  <sheetData>
    <row r="1" spans="1:11" x14ac:dyDescent="0.25">
      <c r="A1" t="s">
        <v>1125</v>
      </c>
      <c r="B1" t="s">
        <v>1126</v>
      </c>
      <c r="H1" t="s">
        <v>1127</v>
      </c>
      <c r="I1" t="s">
        <v>1126</v>
      </c>
    </row>
    <row r="2" spans="1:11" x14ac:dyDescent="0.25">
      <c r="A2" t="s">
        <v>95</v>
      </c>
      <c r="B2">
        <v>272</v>
      </c>
      <c r="C2">
        <f>B2/$B$5*100</f>
        <v>97.491039426523301</v>
      </c>
      <c r="H2" t="s">
        <v>1128</v>
      </c>
      <c r="I2">
        <v>266</v>
      </c>
      <c r="K2">
        <f>I2/$I$6*100</f>
        <v>85.256410256410248</v>
      </c>
    </row>
    <row r="3" spans="1:11" x14ac:dyDescent="0.25">
      <c r="A3" t="s">
        <v>443</v>
      </c>
      <c r="B3">
        <v>6</v>
      </c>
      <c r="C3">
        <f t="shared" ref="C3:C4" si="0">B3/$B$5*100</f>
        <v>2.1505376344086025</v>
      </c>
      <c r="H3" t="s">
        <v>1129</v>
      </c>
      <c r="I3">
        <v>42</v>
      </c>
      <c r="K3">
        <f t="shared" ref="K3:K5" si="1">I3/$I$6*100</f>
        <v>13.461538461538462</v>
      </c>
    </row>
    <row r="4" spans="1:11" x14ac:dyDescent="0.25">
      <c r="A4" t="s">
        <v>149</v>
      </c>
      <c r="B4">
        <v>1</v>
      </c>
      <c r="C4">
        <f t="shared" si="0"/>
        <v>0.35842293906810035</v>
      </c>
      <c r="H4" t="s">
        <v>1130</v>
      </c>
      <c r="I4">
        <v>3</v>
      </c>
      <c r="K4">
        <f t="shared" si="1"/>
        <v>0.96153846153846156</v>
      </c>
    </row>
    <row r="5" spans="1:11" x14ac:dyDescent="0.25">
      <c r="B5">
        <f>SUM(B2:B4)</f>
        <v>279</v>
      </c>
      <c r="H5" t="s">
        <v>1131</v>
      </c>
      <c r="I5">
        <v>1</v>
      </c>
      <c r="K5">
        <f t="shared" si="1"/>
        <v>0.32051282051282048</v>
      </c>
    </row>
    <row r="6" spans="1:11" x14ac:dyDescent="0.25">
      <c r="I6">
        <f>SUM(I2:I5)</f>
        <v>312</v>
      </c>
    </row>
    <row r="10" spans="1:11" x14ac:dyDescent="0.25">
      <c r="H10" t="s">
        <v>1132</v>
      </c>
    </row>
    <row r="11" spans="1:11" x14ac:dyDescent="0.25">
      <c r="H11" t="s">
        <v>1133</v>
      </c>
    </row>
    <row r="12" spans="1:11" x14ac:dyDescent="0.25">
      <c r="H12" t="s">
        <v>1134</v>
      </c>
    </row>
    <row r="13" spans="1:11" x14ac:dyDescent="0.25">
      <c r="H13" t="s">
        <v>1135</v>
      </c>
    </row>
    <row r="14" spans="1:11" x14ac:dyDescent="0.25">
      <c r="H14" t="s">
        <v>1136</v>
      </c>
    </row>
    <row r="15" spans="1:11" x14ac:dyDescent="0.25">
      <c r="H15" t="s">
        <v>1137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2</vt:i4>
      </vt:variant>
    </vt:vector>
  </HeadingPairs>
  <TitlesOfParts>
    <vt:vector size="5" baseType="lpstr">
      <vt:lpstr>Sheet1</vt:lpstr>
      <vt:lpstr>Sheet2</vt:lpstr>
      <vt:lpstr>Sheet3</vt:lpstr>
      <vt:lpstr>movement rate</vt:lpstr>
      <vt:lpstr>failure mechanism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Arindam Dey</dc:creator>
  <cp:lastModifiedBy>Dr. Arindam Dey</cp:lastModifiedBy>
  <dcterms:created xsi:type="dcterms:W3CDTF">2015-06-05T18:17:20Z</dcterms:created>
  <dcterms:modified xsi:type="dcterms:W3CDTF">2026-04-15T09:29:55Z</dcterms:modified>
</cp:coreProperties>
</file>